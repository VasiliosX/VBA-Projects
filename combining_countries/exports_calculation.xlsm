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CHRO026\Desktop\infographic\übersicht-jan\all_trade_volumes\calculation_of_projection\malkies\"/>
    </mc:Choice>
  </mc:AlternateContent>
  <xr:revisionPtr revIDLastSave="0" documentId="13_ncr:1_{FFFE80E1-F303-472A-90F5-AB6E9E255AA1}" xr6:coauthVersionLast="47" xr6:coauthVersionMax="47" xr10:uidLastSave="{00000000-0000-0000-0000-000000000000}"/>
  <bookViews>
    <workbookView xWindow="-120" yWindow="-120" windowWidth="24240" windowHeight="13140" xr2:uid="{00000000-000D-0000-FFFF-FFFF00000000}"/>
  </bookViews>
  <sheets>
    <sheet name="Calculation" sheetId="1" r:id="rId1"/>
    <sheet name="Exports_total_value" sheetId="2" r:id="rId2"/>
    <sheet name="Percentage_change"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6" i="1" l="1"/>
  <c r="L6" i="1" s="1"/>
  <c r="M6" i="1" s="1"/>
  <c r="N6" i="1" s="1"/>
  <c r="O6" i="1" s="1"/>
  <c r="P6" i="1" s="1"/>
  <c r="K7" i="1"/>
  <c r="L7" i="1"/>
  <c r="M7" i="1" s="1"/>
  <c r="N7" i="1" s="1"/>
  <c r="O7" i="1" s="1"/>
  <c r="P7" i="1" s="1"/>
  <c r="K8" i="1"/>
  <c r="L8" i="1" s="1"/>
  <c r="M8" i="1" s="1"/>
  <c r="N8" i="1" s="1"/>
  <c r="O8" i="1" s="1"/>
  <c r="P8" i="1" s="1"/>
  <c r="K9" i="1"/>
  <c r="L9" i="1" s="1"/>
  <c r="M9" i="1" s="1"/>
  <c r="N9" i="1" s="1"/>
  <c r="O9" i="1" s="1"/>
  <c r="P9" i="1" s="1"/>
  <c r="K10" i="1"/>
  <c r="L10" i="1" s="1"/>
  <c r="M10" i="1" s="1"/>
  <c r="N10" i="1" s="1"/>
  <c r="O10" i="1" s="1"/>
  <c r="P10" i="1" s="1"/>
  <c r="K11" i="1"/>
  <c r="L11" i="1"/>
  <c r="M11" i="1" s="1"/>
  <c r="N11" i="1" s="1"/>
  <c r="O11" i="1" s="1"/>
  <c r="P11" i="1" s="1"/>
  <c r="K12" i="1"/>
  <c r="L12" i="1" s="1"/>
  <c r="M12" i="1" s="1"/>
  <c r="N12" i="1" s="1"/>
  <c r="K13" i="1"/>
  <c r="L13" i="1" s="1"/>
  <c r="M13" i="1" s="1"/>
  <c r="N13" i="1" s="1"/>
  <c r="O13" i="1" s="1"/>
  <c r="P13" i="1" s="1"/>
  <c r="K14" i="1"/>
  <c r="L14" i="1" s="1"/>
  <c r="M14" i="1" s="1"/>
  <c r="N14" i="1" s="1"/>
  <c r="O14" i="1" s="1"/>
  <c r="P14" i="1" s="1"/>
  <c r="K15" i="1"/>
  <c r="L15" i="1" s="1"/>
  <c r="M15" i="1" s="1"/>
  <c r="N15" i="1" s="1"/>
  <c r="O15" i="1" s="1"/>
  <c r="P15" i="1" s="1"/>
  <c r="K16" i="1"/>
  <c r="L16" i="1" s="1"/>
  <c r="M16" i="1" s="1"/>
  <c r="N16" i="1" s="1"/>
  <c r="O16" i="1" s="1"/>
  <c r="P16" i="1" s="1"/>
  <c r="K17" i="1"/>
  <c r="L17" i="1" s="1"/>
  <c r="M17" i="1" s="1"/>
  <c r="N17" i="1" s="1"/>
  <c r="O17" i="1" s="1"/>
  <c r="P17" i="1" s="1"/>
  <c r="K18" i="1"/>
  <c r="L18" i="1" s="1"/>
  <c r="M18" i="1" s="1"/>
  <c r="N18" i="1" s="1"/>
  <c r="O18" i="1" s="1"/>
  <c r="P18" i="1" s="1"/>
  <c r="K19" i="1"/>
  <c r="L19" i="1" s="1"/>
  <c r="M19" i="1" s="1"/>
  <c r="N19" i="1" s="1"/>
  <c r="O19" i="1" s="1"/>
  <c r="P19" i="1" s="1"/>
  <c r="K20" i="1"/>
  <c r="L20" i="1" s="1"/>
  <c r="M20" i="1" s="1"/>
  <c r="N20" i="1" s="1"/>
  <c r="O20" i="1" s="1"/>
  <c r="P20" i="1" s="1"/>
  <c r="K21" i="1"/>
  <c r="L21" i="1" s="1"/>
  <c r="M21" i="1" s="1"/>
  <c r="N21" i="1" s="1"/>
  <c r="O21" i="1" s="1"/>
  <c r="P21" i="1" s="1"/>
  <c r="K22" i="1"/>
  <c r="L22" i="1" s="1"/>
  <c r="M22" i="1" s="1"/>
  <c r="N22" i="1" s="1"/>
  <c r="O22" i="1" s="1"/>
  <c r="P22" i="1" s="1"/>
  <c r="K23" i="1"/>
  <c r="L23" i="1" s="1"/>
  <c r="M23" i="1" s="1"/>
  <c r="N23" i="1" s="1"/>
  <c r="O23" i="1" s="1"/>
  <c r="P23" i="1" s="1"/>
  <c r="K24" i="1"/>
  <c r="L24" i="1" s="1"/>
  <c r="M24" i="1" s="1"/>
  <c r="N24" i="1" s="1"/>
  <c r="O24" i="1" s="1"/>
  <c r="P24" i="1" s="1"/>
  <c r="K25" i="1"/>
  <c r="L25" i="1" s="1"/>
  <c r="M25" i="1" s="1"/>
  <c r="N25" i="1" s="1"/>
  <c r="O25" i="1" s="1"/>
  <c r="P25" i="1" s="1"/>
  <c r="K26" i="1"/>
  <c r="L26" i="1" s="1"/>
  <c r="M26" i="1" s="1"/>
  <c r="N26" i="1" s="1"/>
  <c r="O26" i="1" s="1"/>
  <c r="P26" i="1" s="1"/>
  <c r="K27" i="1"/>
  <c r="L27" i="1" s="1"/>
  <c r="M27" i="1" s="1"/>
  <c r="N27" i="1" s="1"/>
  <c r="O27" i="1" s="1"/>
  <c r="P27" i="1" s="1"/>
  <c r="K28" i="1"/>
  <c r="L28" i="1" s="1"/>
  <c r="M28" i="1" s="1"/>
  <c r="N28" i="1" s="1"/>
  <c r="O28" i="1" s="1"/>
  <c r="P28" i="1" s="1"/>
  <c r="K29" i="1"/>
  <c r="L29" i="1" s="1"/>
  <c r="M29" i="1" s="1"/>
  <c r="N29" i="1" s="1"/>
  <c r="O29" i="1" s="1"/>
  <c r="P29" i="1" s="1"/>
  <c r="K30" i="1"/>
  <c r="L30" i="1" s="1"/>
  <c r="M30" i="1" s="1"/>
  <c r="N30" i="1" s="1"/>
  <c r="O30" i="1" s="1"/>
  <c r="P30" i="1" s="1"/>
  <c r="K31" i="1"/>
  <c r="L31" i="1" s="1"/>
  <c r="M31" i="1" s="1"/>
  <c r="N31" i="1" s="1"/>
  <c r="O31" i="1" s="1"/>
  <c r="P31" i="1" s="1"/>
  <c r="K32" i="1"/>
  <c r="L32" i="1" s="1"/>
  <c r="M32" i="1" s="1"/>
  <c r="N32" i="1" s="1"/>
  <c r="O32" i="1" s="1"/>
  <c r="P32" i="1" s="1"/>
  <c r="K33" i="1"/>
  <c r="L33" i="1" s="1"/>
  <c r="M33" i="1" s="1"/>
  <c r="N33" i="1" s="1"/>
  <c r="O33" i="1" s="1"/>
  <c r="P33" i="1" s="1"/>
  <c r="K34" i="1"/>
  <c r="L34" i="1" s="1"/>
  <c r="M34" i="1" s="1"/>
  <c r="N34" i="1" s="1"/>
  <c r="O34" i="1" s="1"/>
  <c r="P34" i="1" s="1"/>
  <c r="K35" i="1"/>
  <c r="L35" i="1" s="1"/>
  <c r="M35" i="1" s="1"/>
  <c r="N35" i="1" s="1"/>
  <c r="O35" i="1" s="1"/>
  <c r="P35" i="1" s="1"/>
  <c r="K36" i="1"/>
  <c r="L36" i="1" s="1"/>
  <c r="M36" i="1" s="1"/>
  <c r="N36" i="1" s="1"/>
  <c r="O36" i="1" s="1"/>
  <c r="P36" i="1" s="1"/>
  <c r="K37" i="1"/>
  <c r="L37" i="1" s="1"/>
  <c r="M37" i="1" s="1"/>
  <c r="N37" i="1" s="1"/>
  <c r="O37" i="1" s="1"/>
  <c r="P37" i="1" s="1"/>
  <c r="K38" i="1"/>
  <c r="L38" i="1" s="1"/>
  <c r="M38" i="1" s="1"/>
  <c r="N38" i="1" s="1"/>
  <c r="O38" i="1" s="1"/>
  <c r="P38" i="1" s="1"/>
  <c r="K39" i="1"/>
  <c r="L39" i="1" s="1"/>
  <c r="M39" i="1" s="1"/>
  <c r="N39" i="1" s="1"/>
  <c r="O39" i="1" s="1"/>
  <c r="P39" i="1" s="1"/>
  <c r="K40" i="1"/>
  <c r="L40" i="1" s="1"/>
  <c r="M40" i="1" s="1"/>
  <c r="N40" i="1" s="1"/>
  <c r="O40" i="1" s="1"/>
  <c r="P40" i="1" s="1"/>
  <c r="K41" i="1"/>
  <c r="L41" i="1" s="1"/>
  <c r="M41" i="1" s="1"/>
  <c r="N41" i="1" s="1"/>
  <c r="O41" i="1" s="1"/>
  <c r="P41" i="1" s="1"/>
  <c r="K42" i="1"/>
  <c r="L42" i="1" s="1"/>
  <c r="M42" i="1" s="1"/>
  <c r="N42" i="1" s="1"/>
  <c r="O42" i="1" s="1"/>
  <c r="P42" i="1" s="1"/>
  <c r="K43" i="1"/>
  <c r="L43" i="1" s="1"/>
  <c r="M43" i="1" s="1"/>
  <c r="N43" i="1" s="1"/>
  <c r="O43" i="1" s="1"/>
  <c r="P43" i="1" s="1"/>
  <c r="K44" i="1"/>
  <c r="L44" i="1" s="1"/>
  <c r="M44" i="1" s="1"/>
  <c r="N44" i="1" s="1"/>
  <c r="O44" i="1" s="1"/>
  <c r="P44" i="1" s="1"/>
  <c r="K45" i="1"/>
  <c r="L45" i="1"/>
  <c r="M45" i="1" s="1"/>
  <c r="N45" i="1" s="1"/>
  <c r="O45" i="1" s="1"/>
  <c r="P45" i="1" s="1"/>
  <c r="K46" i="1"/>
  <c r="L46" i="1" s="1"/>
  <c r="M46" i="1" s="1"/>
  <c r="N46" i="1" s="1"/>
  <c r="O46" i="1" s="1"/>
  <c r="P46" i="1" s="1"/>
  <c r="K47" i="1"/>
  <c r="L47" i="1" s="1"/>
  <c r="M47" i="1" s="1"/>
  <c r="N47" i="1" s="1"/>
  <c r="O47" i="1" s="1"/>
  <c r="P47" i="1" s="1"/>
  <c r="K48" i="1"/>
  <c r="L48" i="1" s="1"/>
  <c r="M48" i="1" s="1"/>
  <c r="N48" i="1" s="1"/>
  <c r="O48" i="1" s="1"/>
  <c r="P48" i="1" s="1"/>
  <c r="K49" i="1"/>
  <c r="L49" i="1"/>
  <c r="M49" i="1" s="1"/>
  <c r="N49" i="1" s="1"/>
  <c r="O49" i="1" s="1"/>
  <c r="P49" i="1" s="1"/>
  <c r="K50" i="1"/>
  <c r="L50" i="1" s="1"/>
  <c r="M50" i="1" s="1"/>
  <c r="N50" i="1"/>
  <c r="O50" i="1" s="1"/>
  <c r="P50" i="1" s="1"/>
  <c r="K51" i="1"/>
  <c r="L51" i="1"/>
  <c r="M51" i="1" s="1"/>
  <c r="N51" i="1" s="1"/>
  <c r="O51" i="1" s="1"/>
  <c r="P51" i="1" s="1"/>
  <c r="K52" i="1"/>
  <c r="L52" i="1" s="1"/>
  <c r="M52" i="1" s="1"/>
  <c r="N52" i="1" s="1"/>
  <c r="O52" i="1" s="1"/>
  <c r="P52" i="1" s="1"/>
  <c r="K53" i="1"/>
  <c r="L53" i="1" s="1"/>
  <c r="M53" i="1" s="1"/>
  <c r="N53" i="1" s="1"/>
  <c r="O53" i="1" s="1"/>
  <c r="P53" i="1" s="1"/>
  <c r="K54" i="1"/>
  <c r="L54" i="1" s="1"/>
  <c r="M54" i="1" s="1"/>
  <c r="N54" i="1" s="1"/>
  <c r="O54" i="1" s="1"/>
  <c r="P54" i="1" s="1"/>
  <c r="K55" i="1"/>
  <c r="L55" i="1" s="1"/>
  <c r="M55" i="1" s="1"/>
  <c r="N55" i="1" s="1"/>
  <c r="O55" i="1" s="1"/>
  <c r="P55" i="1" s="1"/>
  <c r="K56" i="1"/>
  <c r="L56" i="1" s="1"/>
  <c r="M56" i="1" s="1"/>
  <c r="N56" i="1" s="1"/>
  <c r="O56" i="1" s="1"/>
  <c r="P56" i="1" s="1"/>
  <c r="K57" i="1"/>
  <c r="L57" i="1" s="1"/>
  <c r="M57" i="1" s="1"/>
  <c r="N57" i="1" s="1"/>
  <c r="O57" i="1" s="1"/>
  <c r="P57" i="1" s="1"/>
  <c r="K58" i="1"/>
  <c r="L58" i="1" s="1"/>
  <c r="M58" i="1"/>
  <c r="N58" i="1" s="1"/>
  <c r="O58" i="1" s="1"/>
  <c r="P58" i="1" s="1"/>
  <c r="K59" i="1"/>
  <c r="L59" i="1"/>
  <c r="M59" i="1" s="1"/>
  <c r="N59" i="1" s="1"/>
  <c r="O59" i="1" s="1"/>
  <c r="P59" i="1" s="1"/>
  <c r="K60" i="1"/>
  <c r="L60" i="1" s="1"/>
  <c r="M60" i="1" s="1"/>
  <c r="N60" i="1" s="1"/>
  <c r="O60" i="1" s="1"/>
  <c r="P60" i="1" s="1"/>
  <c r="K61" i="1"/>
  <c r="L61" i="1" s="1"/>
  <c r="M61" i="1" s="1"/>
  <c r="N61" i="1" s="1"/>
  <c r="O61" i="1" s="1"/>
  <c r="P61" i="1" s="1"/>
  <c r="K62" i="1"/>
  <c r="L62" i="1" s="1"/>
  <c r="M62" i="1" s="1"/>
  <c r="N62" i="1" s="1"/>
  <c r="O62" i="1" s="1"/>
  <c r="P62" i="1" s="1"/>
  <c r="K63" i="1"/>
  <c r="L63" i="1" s="1"/>
  <c r="M63" i="1" s="1"/>
  <c r="N63" i="1" s="1"/>
  <c r="O63" i="1" s="1"/>
  <c r="P63" i="1" s="1"/>
  <c r="K64" i="1"/>
  <c r="L64" i="1" s="1"/>
  <c r="M64" i="1" s="1"/>
  <c r="N64" i="1" s="1"/>
  <c r="O64" i="1" s="1"/>
  <c r="P64" i="1" s="1"/>
  <c r="K65" i="1"/>
  <c r="L65" i="1" s="1"/>
  <c r="M65" i="1" s="1"/>
  <c r="N65" i="1" s="1"/>
  <c r="O65" i="1" s="1"/>
  <c r="P65" i="1" s="1"/>
  <c r="K66" i="1"/>
  <c r="L66" i="1" s="1"/>
  <c r="M66" i="1" s="1"/>
  <c r="N66" i="1" s="1"/>
  <c r="O66" i="1" s="1"/>
  <c r="P66" i="1"/>
  <c r="K67" i="1"/>
  <c r="L67" i="1" s="1"/>
  <c r="M67" i="1" s="1"/>
  <c r="N67" i="1" s="1"/>
  <c r="O67" i="1" s="1"/>
  <c r="P67" i="1" s="1"/>
  <c r="K68" i="1"/>
  <c r="L68" i="1" s="1"/>
  <c r="M68" i="1" s="1"/>
  <c r="N68" i="1" s="1"/>
  <c r="O68" i="1" s="1"/>
  <c r="P68" i="1" s="1"/>
  <c r="K69" i="1"/>
  <c r="L69" i="1" s="1"/>
  <c r="M69" i="1" s="1"/>
  <c r="N69" i="1" s="1"/>
  <c r="O69" i="1" s="1"/>
  <c r="P69" i="1" s="1"/>
  <c r="K70" i="1"/>
  <c r="L70" i="1" s="1"/>
  <c r="M70" i="1"/>
  <c r="N70" i="1" s="1"/>
  <c r="O70" i="1" s="1"/>
  <c r="P70" i="1" s="1"/>
  <c r="K71" i="1"/>
  <c r="L71" i="1" s="1"/>
  <c r="M71" i="1" s="1"/>
  <c r="N71" i="1" s="1"/>
  <c r="O71" i="1" s="1"/>
  <c r="P71" i="1" s="1"/>
  <c r="K72" i="1"/>
  <c r="L72" i="1"/>
  <c r="M72" i="1" s="1"/>
  <c r="N72" i="1" s="1"/>
  <c r="O72" i="1" s="1"/>
  <c r="P72" i="1" s="1"/>
  <c r="K73" i="1"/>
  <c r="L73" i="1" s="1"/>
  <c r="M73" i="1" s="1"/>
  <c r="N73" i="1" s="1"/>
  <c r="O73" i="1" s="1"/>
  <c r="P73" i="1" s="1"/>
  <c r="K74" i="1"/>
  <c r="L74" i="1" s="1"/>
  <c r="M74" i="1" s="1"/>
  <c r="N74" i="1" s="1"/>
  <c r="O74" i="1" s="1"/>
  <c r="P74" i="1" s="1"/>
  <c r="K75" i="1"/>
  <c r="L75" i="1" s="1"/>
  <c r="M75" i="1" s="1"/>
  <c r="N75" i="1" s="1"/>
  <c r="O75" i="1" s="1"/>
  <c r="P75" i="1" s="1"/>
  <c r="K76" i="1"/>
  <c r="L76" i="1" s="1"/>
  <c r="M76" i="1" s="1"/>
  <c r="N76" i="1" s="1"/>
  <c r="O76" i="1"/>
  <c r="P76" i="1" s="1"/>
  <c r="K77" i="1"/>
  <c r="L77" i="1" s="1"/>
  <c r="M77" i="1" s="1"/>
  <c r="N77" i="1" s="1"/>
  <c r="O77" i="1" s="1"/>
  <c r="P77" i="1" s="1"/>
  <c r="K78" i="1"/>
  <c r="L78" i="1" s="1"/>
  <c r="M78" i="1" s="1"/>
  <c r="N78" i="1" s="1"/>
  <c r="O78" i="1" s="1"/>
  <c r="P78" i="1" s="1"/>
  <c r="K79" i="1"/>
  <c r="L79" i="1" s="1"/>
  <c r="M79" i="1"/>
  <c r="N79" i="1" s="1"/>
  <c r="O79" i="1" s="1"/>
  <c r="P79" i="1" s="1"/>
  <c r="K80" i="1"/>
  <c r="L80" i="1"/>
  <c r="M80" i="1" s="1"/>
  <c r="N80" i="1" s="1"/>
  <c r="O80" i="1" s="1"/>
  <c r="P80" i="1" s="1"/>
  <c r="K81" i="1"/>
  <c r="L81" i="1" s="1"/>
  <c r="M81" i="1" s="1"/>
  <c r="N81" i="1" s="1"/>
  <c r="O81" i="1" s="1"/>
  <c r="P81" i="1" s="1"/>
  <c r="K82" i="1"/>
  <c r="L82" i="1" s="1"/>
  <c r="M82" i="1" s="1"/>
  <c r="N82" i="1" s="1"/>
  <c r="O82" i="1" s="1"/>
  <c r="P82" i="1" s="1"/>
  <c r="K83" i="1"/>
  <c r="L83" i="1" s="1"/>
  <c r="M83" i="1" s="1"/>
  <c r="N83" i="1" s="1"/>
  <c r="O83" i="1" s="1"/>
  <c r="P83" i="1" s="1"/>
  <c r="K84" i="1"/>
  <c r="L84" i="1" s="1"/>
  <c r="M84" i="1" s="1"/>
  <c r="N84" i="1" s="1"/>
  <c r="O84" i="1" s="1"/>
  <c r="P84" i="1" s="1"/>
  <c r="K85" i="1"/>
  <c r="L85" i="1" s="1"/>
  <c r="M85" i="1" s="1"/>
  <c r="N85" i="1"/>
  <c r="O85" i="1" s="1"/>
  <c r="P85" i="1" s="1"/>
  <c r="K86" i="1"/>
  <c r="L86" i="1" s="1"/>
  <c r="M86" i="1" s="1"/>
  <c r="N86" i="1" s="1"/>
  <c r="O86" i="1" s="1"/>
  <c r="P86" i="1" s="1"/>
  <c r="K87" i="1"/>
  <c r="L87" i="1" s="1"/>
  <c r="M87" i="1" s="1"/>
  <c r="N87" i="1" s="1"/>
  <c r="O87" i="1" s="1"/>
  <c r="P87" i="1" s="1"/>
  <c r="K88" i="1"/>
  <c r="L88" i="1" s="1"/>
  <c r="M88" i="1" s="1"/>
  <c r="N88" i="1" s="1"/>
  <c r="O88" i="1" s="1"/>
  <c r="P88" i="1" s="1"/>
  <c r="K89" i="1"/>
  <c r="L89" i="1" s="1"/>
  <c r="M89" i="1" s="1"/>
  <c r="N89" i="1" s="1"/>
  <c r="O89" i="1" s="1"/>
  <c r="P89" i="1" s="1"/>
  <c r="K90" i="1"/>
  <c r="L90" i="1" s="1"/>
  <c r="M90" i="1" s="1"/>
  <c r="N90" i="1" s="1"/>
  <c r="O90" i="1" s="1"/>
  <c r="P90" i="1" s="1"/>
  <c r="K91" i="1"/>
  <c r="L91" i="1" s="1"/>
  <c r="M91" i="1" s="1"/>
  <c r="N91" i="1" s="1"/>
  <c r="O91" i="1" s="1"/>
  <c r="P91" i="1" s="1"/>
  <c r="K92" i="1"/>
  <c r="L92" i="1" s="1"/>
  <c r="M92" i="1" s="1"/>
  <c r="N92" i="1" s="1"/>
  <c r="O92" i="1" s="1"/>
  <c r="P92" i="1" s="1"/>
  <c r="K93" i="1"/>
  <c r="L93" i="1" s="1"/>
  <c r="M93" i="1" s="1"/>
  <c r="N93" i="1"/>
  <c r="O93" i="1" s="1"/>
  <c r="P93" i="1" s="1"/>
  <c r="K94" i="1"/>
  <c r="L94" i="1" s="1"/>
  <c r="M94" i="1" s="1"/>
  <c r="N94" i="1" s="1"/>
  <c r="O94" i="1" s="1"/>
  <c r="P94" i="1" s="1"/>
  <c r="K95" i="1"/>
  <c r="L95" i="1" s="1"/>
  <c r="M95" i="1" s="1"/>
  <c r="N95" i="1" s="1"/>
  <c r="O95" i="1" s="1"/>
  <c r="P95" i="1" s="1"/>
  <c r="K96" i="1"/>
  <c r="L96" i="1"/>
  <c r="M96" i="1" s="1"/>
  <c r="N96" i="1" s="1"/>
  <c r="O96" i="1" s="1"/>
  <c r="P96" i="1" s="1"/>
  <c r="K97" i="1"/>
  <c r="L97" i="1" s="1"/>
  <c r="M97" i="1" s="1"/>
  <c r="N97" i="1" s="1"/>
  <c r="O97" i="1" s="1"/>
  <c r="P97" i="1" s="1"/>
  <c r="K98" i="1"/>
  <c r="L98" i="1" s="1"/>
  <c r="M98" i="1" s="1"/>
  <c r="N98" i="1" s="1"/>
  <c r="O98" i="1" s="1"/>
  <c r="P98" i="1" s="1"/>
  <c r="K99" i="1"/>
  <c r="L99" i="1" s="1"/>
  <c r="M99" i="1" s="1"/>
  <c r="N99" i="1" s="1"/>
  <c r="O99" i="1" s="1"/>
  <c r="P99" i="1" s="1"/>
  <c r="K100" i="1"/>
  <c r="L100" i="1" s="1"/>
  <c r="M100" i="1" s="1"/>
  <c r="N100" i="1" s="1"/>
  <c r="O100" i="1"/>
  <c r="P100" i="1" s="1"/>
  <c r="K101" i="1"/>
  <c r="L101" i="1" s="1"/>
  <c r="M101" i="1" s="1"/>
  <c r="N101" i="1" s="1"/>
  <c r="O101" i="1" s="1"/>
  <c r="P101" i="1" s="1"/>
  <c r="K102" i="1"/>
  <c r="L102" i="1" s="1"/>
  <c r="M102" i="1" s="1"/>
  <c r="N102" i="1" s="1"/>
  <c r="O102" i="1" s="1"/>
  <c r="P102" i="1" s="1"/>
  <c r="K103" i="1"/>
  <c r="L103" i="1" s="1"/>
  <c r="M103" i="1" s="1"/>
  <c r="N103" i="1" s="1"/>
  <c r="O103" i="1" s="1"/>
  <c r="P103" i="1" s="1"/>
  <c r="K104" i="1"/>
  <c r="L104" i="1"/>
  <c r="M104" i="1" s="1"/>
  <c r="N104" i="1" s="1"/>
  <c r="O104" i="1" s="1"/>
  <c r="P104" i="1" s="1"/>
  <c r="K105" i="1"/>
  <c r="L105" i="1" s="1"/>
  <c r="M105" i="1" s="1"/>
  <c r="N105" i="1" s="1"/>
  <c r="O105" i="1" s="1"/>
  <c r="P105" i="1" s="1"/>
  <c r="K106" i="1"/>
  <c r="L106" i="1" s="1"/>
  <c r="M106" i="1"/>
  <c r="N106" i="1" s="1"/>
  <c r="O106" i="1" s="1"/>
  <c r="P106" i="1" s="1"/>
  <c r="K107" i="1"/>
  <c r="L107" i="1" s="1"/>
  <c r="M107" i="1" s="1"/>
  <c r="N107" i="1" s="1"/>
  <c r="O107" i="1" s="1"/>
  <c r="P107" i="1" s="1"/>
  <c r="K108" i="1"/>
  <c r="L108" i="1" s="1"/>
  <c r="M108" i="1"/>
  <c r="N108" i="1" s="1"/>
  <c r="O108" i="1" s="1"/>
  <c r="P108" i="1" s="1"/>
  <c r="K109" i="1"/>
  <c r="L109" i="1" s="1"/>
  <c r="M109" i="1" s="1"/>
  <c r="N109" i="1" s="1"/>
  <c r="O109" i="1" s="1"/>
  <c r="P109" i="1" s="1"/>
  <c r="K110" i="1"/>
  <c r="L110" i="1" s="1"/>
  <c r="M110" i="1"/>
  <c r="N110" i="1" s="1"/>
  <c r="O110" i="1" s="1"/>
  <c r="P110" i="1" s="1"/>
  <c r="K111" i="1"/>
  <c r="L111" i="1" s="1"/>
  <c r="M111" i="1" s="1"/>
  <c r="N111" i="1" s="1"/>
  <c r="O111" i="1" s="1"/>
  <c r="P111" i="1" s="1"/>
  <c r="K112" i="1"/>
  <c r="L112" i="1" s="1"/>
  <c r="M112" i="1" s="1"/>
  <c r="N112" i="1" s="1"/>
  <c r="O112" i="1" s="1"/>
  <c r="P112" i="1" s="1"/>
  <c r="K113" i="1"/>
  <c r="L113" i="1" s="1"/>
  <c r="M113" i="1" s="1"/>
  <c r="N113" i="1" s="1"/>
  <c r="O113" i="1" s="1"/>
  <c r="P113" i="1" s="1"/>
  <c r="K114" i="1"/>
  <c r="L114" i="1" s="1"/>
  <c r="M114" i="1" s="1"/>
  <c r="N114" i="1" s="1"/>
  <c r="O114" i="1" s="1"/>
  <c r="P114" i="1" s="1"/>
  <c r="K115" i="1"/>
  <c r="L115" i="1" s="1"/>
  <c r="M115" i="1" s="1"/>
  <c r="N115" i="1" s="1"/>
  <c r="O115" i="1" s="1"/>
  <c r="P115" i="1" s="1"/>
  <c r="K116" i="1"/>
  <c r="L116" i="1" s="1"/>
  <c r="M116" i="1" s="1"/>
  <c r="N116" i="1" s="1"/>
  <c r="O116" i="1" s="1"/>
  <c r="P116" i="1" s="1"/>
  <c r="K117" i="1"/>
  <c r="L117" i="1" s="1"/>
  <c r="M117" i="1" s="1"/>
  <c r="N117" i="1" s="1"/>
  <c r="O117" i="1" s="1"/>
  <c r="P117" i="1" s="1"/>
  <c r="K118" i="1"/>
  <c r="L118" i="1" s="1"/>
  <c r="M118" i="1" s="1"/>
  <c r="N118" i="1" s="1"/>
  <c r="O118" i="1" s="1"/>
  <c r="P118" i="1" s="1"/>
  <c r="K119" i="1"/>
  <c r="L119" i="1" s="1"/>
  <c r="M119" i="1" s="1"/>
  <c r="N119" i="1" s="1"/>
  <c r="O119" i="1" s="1"/>
  <c r="P119" i="1" s="1"/>
  <c r="K120" i="1"/>
  <c r="L120" i="1" s="1"/>
  <c r="M120" i="1" s="1"/>
  <c r="N120" i="1" s="1"/>
  <c r="O120" i="1" s="1"/>
  <c r="P120" i="1" s="1"/>
  <c r="K121" i="1"/>
  <c r="L121" i="1" s="1"/>
  <c r="M121" i="1" s="1"/>
  <c r="N121" i="1" s="1"/>
  <c r="O121" i="1" s="1"/>
  <c r="P121" i="1" s="1"/>
  <c r="K122" i="1"/>
  <c r="L122" i="1" s="1"/>
  <c r="M122" i="1" s="1"/>
  <c r="N122" i="1" s="1"/>
  <c r="O122" i="1" s="1"/>
  <c r="P122" i="1" s="1"/>
  <c r="K123" i="1"/>
  <c r="L123" i="1" s="1"/>
  <c r="M123" i="1" s="1"/>
  <c r="N123" i="1" s="1"/>
  <c r="O123" i="1" s="1"/>
  <c r="P123" i="1" s="1"/>
  <c r="K124" i="1"/>
  <c r="L124" i="1" s="1"/>
  <c r="M124" i="1" s="1"/>
  <c r="N124" i="1" s="1"/>
  <c r="O124" i="1" s="1"/>
  <c r="P124" i="1" s="1"/>
  <c r="K125" i="1"/>
  <c r="L125" i="1" s="1"/>
  <c r="M125" i="1" s="1"/>
  <c r="N125" i="1" s="1"/>
  <c r="O125" i="1" s="1"/>
  <c r="P125" i="1" s="1"/>
  <c r="K126" i="1"/>
  <c r="L126" i="1" s="1"/>
  <c r="M126" i="1" s="1"/>
  <c r="N126" i="1" s="1"/>
  <c r="O126" i="1" s="1"/>
  <c r="P126" i="1" s="1"/>
  <c r="K127" i="1"/>
  <c r="L127" i="1" s="1"/>
  <c r="M127" i="1" s="1"/>
  <c r="N127" i="1" s="1"/>
  <c r="O127" i="1" s="1"/>
  <c r="P127" i="1" s="1"/>
  <c r="K128" i="1"/>
  <c r="L128" i="1" s="1"/>
  <c r="M128" i="1" s="1"/>
  <c r="N128" i="1" s="1"/>
  <c r="O128" i="1" s="1"/>
  <c r="P128" i="1" s="1"/>
  <c r="K129" i="1"/>
  <c r="L129" i="1" s="1"/>
  <c r="M129" i="1" s="1"/>
  <c r="N129" i="1" s="1"/>
  <c r="O129" i="1" s="1"/>
  <c r="P129" i="1" s="1"/>
  <c r="K130" i="1"/>
  <c r="L130" i="1" s="1"/>
  <c r="M130" i="1" s="1"/>
  <c r="N130" i="1" s="1"/>
  <c r="O130" i="1" s="1"/>
  <c r="P130" i="1" s="1"/>
  <c r="K131" i="1"/>
  <c r="L131" i="1" s="1"/>
  <c r="M131" i="1" s="1"/>
  <c r="N131" i="1" s="1"/>
  <c r="O131" i="1" s="1"/>
  <c r="P131" i="1" s="1"/>
  <c r="K132" i="1"/>
  <c r="L132" i="1" s="1"/>
  <c r="M132" i="1" s="1"/>
  <c r="N132" i="1" s="1"/>
  <c r="O132" i="1" s="1"/>
  <c r="P132" i="1" s="1"/>
  <c r="K133" i="1"/>
  <c r="L133" i="1" s="1"/>
  <c r="M133" i="1" s="1"/>
  <c r="N133" i="1" s="1"/>
  <c r="O133" i="1" s="1"/>
  <c r="P133" i="1" s="1"/>
  <c r="K134" i="1"/>
  <c r="L134" i="1" s="1"/>
  <c r="M134" i="1" s="1"/>
  <c r="N134" i="1" s="1"/>
  <c r="O134" i="1" s="1"/>
  <c r="P134" i="1" s="1"/>
  <c r="K135" i="1"/>
  <c r="L135" i="1" s="1"/>
  <c r="M135" i="1" s="1"/>
  <c r="N135" i="1" s="1"/>
  <c r="O135" i="1" s="1"/>
  <c r="P135" i="1" s="1"/>
  <c r="K136" i="1"/>
  <c r="L136" i="1" s="1"/>
  <c r="M136" i="1" s="1"/>
  <c r="N136" i="1" s="1"/>
  <c r="O136" i="1" s="1"/>
  <c r="P136" i="1" s="1"/>
  <c r="K137" i="1"/>
  <c r="L137" i="1" s="1"/>
  <c r="M137" i="1" s="1"/>
  <c r="N137" i="1" s="1"/>
  <c r="O137" i="1" s="1"/>
  <c r="P137" i="1" s="1"/>
  <c r="K138" i="1"/>
  <c r="L138" i="1" s="1"/>
  <c r="M138" i="1" s="1"/>
  <c r="N138" i="1" s="1"/>
  <c r="O138" i="1" s="1"/>
  <c r="P138" i="1" s="1"/>
  <c r="K139" i="1"/>
  <c r="L139" i="1" s="1"/>
  <c r="M139" i="1" s="1"/>
  <c r="N139" i="1" s="1"/>
  <c r="O139" i="1" s="1"/>
  <c r="P139" i="1" s="1"/>
  <c r="K140" i="1"/>
  <c r="L140" i="1" s="1"/>
  <c r="M140" i="1" s="1"/>
  <c r="N140" i="1" s="1"/>
  <c r="O140" i="1" s="1"/>
  <c r="P140" i="1" s="1"/>
  <c r="K141" i="1"/>
  <c r="L141" i="1" s="1"/>
  <c r="M141" i="1" s="1"/>
  <c r="N141" i="1" s="1"/>
  <c r="O141" i="1" s="1"/>
  <c r="P141" i="1" s="1"/>
  <c r="K142" i="1"/>
  <c r="L142" i="1" s="1"/>
  <c r="M142" i="1"/>
  <c r="N142" i="1" s="1"/>
  <c r="O142" i="1" s="1"/>
  <c r="P142" i="1" s="1"/>
  <c r="K143" i="1"/>
  <c r="L143" i="1"/>
  <c r="M143" i="1" s="1"/>
  <c r="N143" i="1" s="1"/>
  <c r="O143" i="1" s="1"/>
  <c r="P143" i="1" s="1"/>
  <c r="K144" i="1"/>
  <c r="L144" i="1" s="1"/>
  <c r="M144" i="1" s="1"/>
  <c r="N144" i="1" s="1"/>
  <c r="O144" i="1" s="1"/>
  <c r="P144" i="1" s="1"/>
  <c r="K145" i="1"/>
  <c r="L145" i="1" s="1"/>
  <c r="M145" i="1" s="1"/>
  <c r="N145" i="1" s="1"/>
  <c r="O145" i="1" s="1"/>
  <c r="P145" i="1" s="1"/>
  <c r="K146" i="1"/>
  <c r="L146" i="1" s="1"/>
  <c r="M146" i="1" s="1"/>
  <c r="N146" i="1" s="1"/>
  <c r="O146" i="1" s="1"/>
  <c r="P146" i="1" s="1"/>
  <c r="K147" i="1"/>
  <c r="L147" i="1" s="1"/>
  <c r="M147" i="1" s="1"/>
  <c r="N147" i="1" s="1"/>
  <c r="O147" i="1" s="1"/>
  <c r="P147" i="1" s="1"/>
  <c r="K148" i="1"/>
  <c r="L148" i="1" s="1"/>
  <c r="M148" i="1"/>
  <c r="N148" i="1" s="1"/>
  <c r="O148" i="1" s="1"/>
  <c r="P148" i="1" s="1"/>
  <c r="K149" i="1"/>
  <c r="L149" i="1" s="1"/>
  <c r="M149" i="1" s="1"/>
  <c r="N149" i="1" s="1"/>
  <c r="O149" i="1" s="1"/>
  <c r="P149" i="1" s="1"/>
  <c r="K150" i="1"/>
  <c r="L150" i="1" s="1"/>
  <c r="M150" i="1" s="1"/>
  <c r="N150" i="1" s="1"/>
  <c r="O150" i="1" s="1"/>
  <c r="P150" i="1" s="1"/>
  <c r="K151" i="1"/>
  <c r="L151" i="1" s="1"/>
  <c r="M151" i="1" s="1"/>
  <c r="N151" i="1" s="1"/>
  <c r="O151" i="1" s="1"/>
  <c r="P151" i="1" s="1"/>
  <c r="K152" i="1"/>
  <c r="L152" i="1" s="1"/>
  <c r="M152" i="1"/>
  <c r="N152" i="1" s="1"/>
  <c r="O152" i="1" s="1"/>
  <c r="P152" i="1" s="1"/>
  <c r="K153" i="1"/>
  <c r="L153" i="1"/>
  <c r="M153" i="1" s="1"/>
  <c r="N153" i="1" s="1"/>
  <c r="O153" i="1" s="1"/>
  <c r="P153" i="1" s="1"/>
  <c r="K154" i="1"/>
  <c r="L154" i="1" s="1"/>
  <c r="M154" i="1" s="1"/>
  <c r="N154" i="1" s="1"/>
  <c r="O154" i="1" s="1"/>
  <c r="P154" i="1" s="1"/>
  <c r="K155" i="1"/>
  <c r="L155" i="1" s="1"/>
  <c r="M155" i="1" s="1"/>
  <c r="N155" i="1" s="1"/>
  <c r="O155" i="1" s="1"/>
  <c r="P155" i="1" s="1"/>
  <c r="K156" i="1"/>
  <c r="L156" i="1" s="1"/>
  <c r="M156" i="1" s="1"/>
  <c r="N156" i="1" s="1"/>
  <c r="O156" i="1" s="1"/>
  <c r="P156" i="1" s="1"/>
  <c r="K157" i="1"/>
  <c r="L157" i="1" s="1"/>
  <c r="M157" i="1" s="1"/>
  <c r="N157" i="1" s="1"/>
  <c r="O157" i="1" s="1"/>
  <c r="P157" i="1" s="1"/>
  <c r="K158" i="1"/>
  <c r="L158" i="1" s="1"/>
  <c r="M158" i="1" s="1"/>
  <c r="N158" i="1" s="1"/>
  <c r="O158" i="1" s="1"/>
  <c r="P158" i="1" s="1"/>
  <c r="K159" i="1"/>
  <c r="L159" i="1" s="1"/>
  <c r="M159" i="1" s="1"/>
  <c r="N159" i="1" s="1"/>
  <c r="O159" i="1" s="1"/>
  <c r="P159" i="1" s="1"/>
  <c r="K160" i="1"/>
  <c r="L160" i="1" s="1"/>
  <c r="M160" i="1"/>
  <c r="N160" i="1" s="1"/>
  <c r="O160" i="1" s="1"/>
  <c r="P160" i="1" s="1"/>
  <c r="K161" i="1"/>
  <c r="L161" i="1" s="1"/>
  <c r="M161" i="1" s="1"/>
  <c r="N161" i="1" s="1"/>
  <c r="O161" i="1" s="1"/>
  <c r="P161" i="1" s="1"/>
  <c r="K162" i="1"/>
  <c r="L162" i="1" s="1"/>
  <c r="M162" i="1" s="1"/>
  <c r="N162" i="1" s="1"/>
  <c r="O162" i="1" s="1"/>
  <c r="P162" i="1" s="1"/>
  <c r="K163" i="1"/>
  <c r="L163" i="1" s="1"/>
  <c r="M163" i="1" s="1"/>
  <c r="N163" i="1" s="1"/>
  <c r="O163" i="1" s="1"/>
  <c r="P163" i="1" s="1"/>
  <c r="K164" i="1"/>
  <c r="L164" i="1" s="1"/>
  <c r="M164" i="1"/>
  <c r="N164" i="1" s="1"/>
  <c r="O164" i="1" s="1"/>
  <c r="P164" i="1" s="1"/>
  <c r="K165" i="1"/>
  <c r="L165" i="1" s="1"/>
  <c r="M165" i="1" s="1"/>
  <c r="N165" i="1" s="1"/>
  <c r="O165" i="1" s="1"/>
  <c r="P165" i="1" s="1"/>
  <c r="K166" i="1"/>
  <c r="L166" i="1" s="1"/>
  <c r="M166" i="1" s="1"/>
  <c r="N166" i="1" s="1"/>
  <c r="O166" i="1" s="1"/>
  <c r="P166" i="1" s="1"/>
  <c r="K167" i="1"/>
  <c r="L167" i="1"/>
  <c r="M167" i="1" s="1"/>
  <c r="N167" i="1" s="1"/>
  <c r="O167" i="1" s="1"/>
  <c r="P167" i="1" s="1"/>
  <c r="K168" i="1"/>
  <c r="L168" i="1" s="1"/>
  <c r="M168" i="1" s="1"/>
  <c r="N168" i="1" s="1"/>
  <c r="O168" i="1" s="1"/>
  <c r="P168" i="1" s="1"/>
  <c r="K169" i="1"/>
  <c r="L169" i="1" s="1"/>
  <c r="M169" i="1" s="1"/>
  <c r="N169" i="1" s="1"/>
  <c r="O169" i="1" s="1"/>
  <c r="P169" i="1" s="1"/>
  <c r="K170" i="1"/>
  <c r="L170" i="1" s="1"/>
  <c r="M170" i="1" s="1"/>
  <c r="N170" i="1"/>
  <c r="O170" i="1" s="1"/>
  <c r="P170" i="1" s="1"/>
  <c r="K171" i="1"/>
  <c r="L171" i="1" s="1"/>
  <c r="M171" i="1" s="1"/>
  <c r="N171" i="1" s="1"/>
  <c r="O171" i="1" s="1"/>
  <c r="P171" i="1" s="1"/>
  <c r="K172" i="1"/>
  <c r="L172" i="1" s="1"/>
  <c r="M172" i="1" s="1"/>
  <c r="N172" i="1" s="1"/>
  <c r="O172" i="1" s="1"/>
  <c r="P172" i="1" s="1"/>
  <c r="K173" i="1"/>
  <c r="L173" i="1" s="1"/>
  <c r="M173" i="1" s="1"/>
  <c r="N173" i="1" s="1"/>
  <c r="O173" i="1" s="1"/>
  <c r="P173" i="1" s="1"/>
  <c r="K174" i="1"/>
  <c r="L174" i="1" s="1"/>
  <c r="M174" i="1" s="1"/>
  <c r="N174" i="1" s="1"/>
  <c r="O174" i="1" s="1"/>
  <c r="P174" i="1" s="1"/>
  <c r="K175" i="1"/>
  <c r="L175" i="1" s="1"/>
  <c r="M175" i="1" s="1"/>
  <c r="N175" i="1" s="1"/>
  <c r="O175" i="1" s="1"/>
  <c r="P175" i="1" s="1"/>
  <c r="K176" i="1"/>
  <c r="L176" i="1" s="1"/>
  <c r="M176" i="1" s="1"/>
  <c r="N176" i="1" s="1"/>
  <c r="O176" i="1" s="1"/>
  <c r="P176" i="1" s="1"/>
  <c r="K177" i="1"/>
  <c r="L177" i="1" s="1"/>
  <c r="M177" i="1" s="1"/>
  <c r="N177" i="1" s="1"/>
  <c r="O177" i="1" s="1"/>
  <c r="P177" i="1" s="1"/>
  <c r="K178" i="1"/>
  <c r="L178" i="1" s="1"/>
  <c r="M178" i="1" s="1"/>
  <c r="N178" i="1" s="1"/>
  <c r="O178" i="1" s="1"/>
  <c r="P178" i="1" s="1"/>
  <c r="K179" i="1"/>
  <c r="L179" i="1"/>
  <c r="M179" i="1"/>
  <c r="N179" i="1" s="1"/>
  <c r="O179" i="1" s="1"/>
  <c r="P179" i="1" s="1"/>
  <c r="K180" i="1"/>
  <c r="L180" i="1" s="1"/>
  <c r="M180" i="1" s="1"/>
  <c r="N180" i="1" s="1"/>
  <c r="O180" i="1" s="1"/>
  <c r="P180" i="1" s="1"/>
  <c r="K181" i="1"/>
  <c r="L181" i="1" s="1"/>
  <c r="M181" i="1" s="1"/>
  <c r="N181" i="1" s="1"/>
  <c r="O181" i="1" s="1"/>
  <c r="P181" i="1" s="1"/>
  <c r="K182" i="1"/>
  <c r="L182" i="1" s="1"/>
  <c r="M182" i="1" s="1"/>
  <c r="N182" i="1" s="1"/>
  <c r="O182" i="1" s="1"/>
  <c r="P182" i="1" s="1"/>
  <c r="K183" i="1"/>
  <c r="L183" i="1" s="1"/>
  <c r="M183" i="1" s="1"/>
  <c r="N183" i="1" s="1"/>
  <c r="O183" i="1" s="1"/>
  <c r="P183" i="1" s="1"/>
  <c r="K184" i="1"/>
  <c r="L184" i="1" s="1"/>
  <c r="M184" i="1" s="1"/>
  <c r="N184" i="1" s="1"/>
  <c r="O184" i="1" s="1"/>
  <c r="P184" i="1" s="1"/>
  <c r="K185" i="1"/>
  <c r="L185" i="1" s="1"/>
  <c r="M185" i="1" s="1"/>
  <c r="N185" i="1" s="1"/>
  <c r="O185" i="1" s="1"/>
  <c r="P185" i="1" s="1"/>
  <c r="K186" i="1"/>
  <c r="L186" i="1" s="1"/>
  <c r="M186" i="1" s="1"/>
  <c r="N186" i="1" s="1"/>
  <c r="O186" i="1" s="1"/>
  <c r="P186" i="1" s="1"/>
  <c r="K187" i="1"/>
  <c r="L187" i="1" s="1"/>
  <c r="M187" i="1" s="1"/>
  <c r="N187" i="1" s="1"/>
  <c r="O187" i="1" s="1"/>
  <c r="P187" i="1" s="1"/>
  <c r="K188" i="1"/>
  <c r="L188" i="1" s="1"/>
  <c r="M188" i="1" s="1"/>
  <c r="N188" i="1" s="1"/>
  <c r="O188" i="1" s="1"/>
  <c r="P188" i="1" s="1"/>
  <c r="K189" i="1"/>
  <c r="L189" i="1" s="1"/>
  <c r="M189" i="1" s="1"/>
  <c r="N189" i="1" s="1"/>
  <c r="O189" i="1" s="1"/>
  <c r="P189" i="1" s="1"/>
  <c r="K190" i="1"/>
  <c r="L190" i="1" s="1"/>
  <c r="M190" i="1" s="1"/>
  <c r="N190" i="1"/>
  <c r="O190" i="1" s="1"/>
  <c r="P190" i="1" s="1"/>
  <c r="K191" i="1"/>
  <c r="L191" i="1"/>
  <c r="M191" i="1"/>
  <c r="N191" i="1" s="1"/>
  <c r="O191" i="1" s="1"/>
  <c r="P191" i="1" s="1"/>
  <c r="K192" i="1"/>
  <c r="L192" i="1" s="1"/>
  <c r="M192" i="1" s="1"/>
  <c r="N192" i="1" s="1"/>
  <c r="O192" i="1" s="1"/>
  <c r="P192" i="1" s="1"/>
  <c r="K193" i="1"/>
  <c r="L193" i="1" s="1"/>
  <c r="M193" i="1" s="1"/>
  <c r="N193" i="1" s="1"/>
  <c r="O193" i="1" s="1"/>
  <c r="P193" i="1" s="1"/>
  <c r="K194" i="1"/>
  <c r="L194" i="1" s="1"/>
  <c r="M194" i="1" s="1"/>
  <c r="N194" i="1" s="1"/>
  <c r="O194" i="1" s="1"/>
  <c r="P194" i="1" s="1"/>
  <c r="K195" i="1"/>
  <c r="L195" i="1"/>
  <c r="M195" i="1"/>
  <c r="N195" i="1" s="1"/>
  <c r="O195" i="1" s="1"/>
  <c r="P195" i="1" s="1"/>
  <c r="K196" i="1"/>
  <c r="L196" i="1" s="1"/>
  <c r="M196" i="1" s="1"/>
  <c r="N196" i="1" s="1"/>
  <c r="O196" i="1" s="1"/>
  <c r="P196" i="1" s="1"/>
  <c r="K197" i="1"/>
  <c r="L197" i="1" s="1"/>
  <c r="M197" i="1" s="1"/>
  <c r="N197" i="1" s="1"/>
  <c r="O197" i="1" s="1"/>
  <c r="P197" i="1" s="1"/>
  <c r="K198" i="1"/>
  <c r="L198" i="1" s="1"/>
  <c r="M198" i="1" s="1"/>
  <c r="N198" i="1"/>
  <c r="O198" i="1" s="1"/>
  <c r="P198" i="1" s="1"/>
  <c r="K199" i="1"/>
  <c r="L199" i="1"/>
  <c r="M199" i="1"/>
  <c r="N199" i="1" s="1"/>
  <c r="O199" i="1" s="1"/>
  <c r="P199" i="1" s="1"/>
  <c r="K200" i="1"/>
  <c r="L200" i="1" s="1"/>
  <c r="M200" i="1" s="1"/>
  <c r="N200" i="1" s="1"/>
  <c r="O200" i="1" s="1"/>
  <c r="P200" i="1" s="1"/>
  <c r="K201" i="1"/>
  <c r="L201" i="1" s="1"/>
  <c r="M201" i="1" s="1"/>
  <c r="N201" i="1" s="1"/>
  <c r="O201" i="1" s="1"/>
  <c r="P201" i="1" s="1"/>
  <c r="K202" i="1"/>
  <c r="L202" i="1" s="1"/>
  <c r="M202" i="1" s="1"/>
  <c r="N202" i="1"/>
  <c r="O202" i="1" s="1"/>
  <c r="P202" i="1" s="1"/>
  <c r="K203" i="1"/>
  <c r="L203" i="1" s="1"/>
  <c r="M203" i="1" s="1"/>
  <c r="N203" i="1" s="1"/>
  <c r="O203" i="1" s="1"/>
  <c r="P203" i="1" s="1"/>
  <c r="K204" i="1"/>
  <c r="L204" i="1" s="1"/>
  <c r="M204" i="1" s="1"/>
  <c r="N204" i="1" s="1"/>
  <c r="O204" i="1" s="1"/>
  <c r="P204" i="1" s="1"/>
  <c r="K205" i="1"/>
  <c r="L205" i="1"/>
  <c r="M205" i="1" s="1"/>
  <c r="N205" i="1" s="1"/>
  <c r="O205" i="1" s="1"/>
  <c r="P205" i="1" s="1"/>
  <c r="K206" i="1"/>
  <c r="L206" i="1" s="1"/>
  <c r="M206" i="1" s="1"/>
  <c r="N206" i="1" s="1"/>
  <c r="O206" i="1" s="1"/>
  <c r="P206" i="1" s="1"/>
  <c r="K207" i="1"/>
  <c r="L207" i="1"/>
  <c r="M207" i="1"/>
  <c r="N207" i="1" s="1"/>
  <c r="O207" i="1" s="1"/>
  <c r="P207" i="1" s="1"/>
  <c r="K208" i="1"/>
  <c r="L208" i="1" s="1"/>
  <c r="M208" i="1" s="1"/>
  <c r="N208" i="1" s="1"/>
  <c r="O208" i="1" s="1"/>
  <c r="P208" i="1" s="1"/>
  <c r="K209" i="1"/>
  <c r="L209" i="1" s="1"/>
  <c r="M209" i="1" s="1"/>
  <c r="N209" i="1" s="1"/>
  <c r="O209" i="1" s="1"/>
  <c r="P209" i="1" s="1"/>
  <c r="K210" i="1"/>
  <c r="L210" i="1" s="1"/>
  <c r="M210" i="1" s="1"/>
  <c r="N210" i="1"/>
  <c r="O210" i="1" s="1"/>
  <c r="P210" i="1" s="1"/>
  <c r="K211" i="1"/>
  <c r="L211" i="1"/>
  <c r="M211" i="1"/>
  <c r="N211" i="1" s="1"/>
  <c r="O211" i="1" s="1"/>
  <c r="P211" i="1" s="1"/>
  <c r="K212" i="1"/>
  <c r="L212" i="1" s="1"/>
  <c r="M212" i="1" s="1"/>
  <c r="N212" i="1" s="1"/>
  <c r="O212" i="1" s="1"/>
  <c r="P212" i="1" s="1"/>
  <c r="K213" i="1"/>
  <c r="L213" i="1" s="1"/>
  <c r="M213" i="1" s="1"/>
  <c r="N213" i="1" s="1"/>
  <c r="O213" i="1" s="1"/>
  <c r="P213" i="1" s="1"/>
  <c r="K214" i="1"/>
  <c r="L214" i="1" s="1"/>
  <c r="M214" i="1" s="1"/>
  <c r="N214" i="1" s="1"/>
  <c r="O214" i="1" s="1"/>
  <c r="P214" i="1" s="1"/>
  <c r="K215" i="1"/>
  <c r="L215" i="1" s="1"/>
  <c r="M215" i="1" s="1"/>
  <c r="N215" i="1" s="1"/>
  <c r="O215" i="1" s="1"/>
  <c r="P215" i="1" s="1"/>
  <c r="K216" i="1"/>
  <c r="L216" i="1" s="1"/>
  <c r="M216" i="1" s="1"/>
  <c r="N216" i="1" s="1"/>
  <c r="O216" i="1" s="1"/>
  <c r="P216" i="1" s="1"/>
  <c r="K217" i="1"/>
  <c r="L217" i="1" s="1"/>
  <c r="M217" i="1" s="1"/>
  <c r="N217" i="1" s="1"/>
  <c r="O217" i="1" s="1"/>
  <c r="P217" i="1" s="1"/>
  <c r="K218" i="1"/>
  <c r="L218" i="1" s="1"/>
  <c r="M218" i="1" s="1"/>
  <c r="N218" i="1" s="1"/>
  <c r="O218" i="1" s="1"/>
  <c r="P218" i="1" s="1"/>
  <c r="K219" i="1"/>
  <c r="L219" i="1" s="1"/>
  <c r="M219" i="1" s="1"/>
  <c r="N219" i="1" s="1"/>
  <c r="O219" i="1" s="1"/>
  <c r="P219" i="1" s="1"/>
  <c r="K220" i="1"/>
  <c r="L220" i="1" s="1"/>
  <c r="M220" i="1"/>
  <c r="N220" i="1" s="1"/>
  <c r="O220" i="1" s="1"/>
  <c r="P220" i="1" s="1"/>
  <c r="K221" i="1"/>
  <c r="L221" i="1" s="1"/>
  <c r="M221" i="1" s="1"/>
  <c r="N221" i="1" s="1"/>
  <c r="O221" i="1" s="1"/>
  <c r="P221" i="1" s="1"/>
  <c r="K222" i="1"/>
  <c r="L222" i="1" s="1"/>
  <c r="M222" i="1" s="1"/>
  <c r="N222" i="1" s="1"/>
  <c r="O222" i="1" s="1"/>
  <c r="P222" i="1" s="1"/>
  <c r="K223" i="1"/>
  <c r="L223" i="1" s="1"/>
  <c r="M223" i="1" s="1"/>
  <c r="N223" i="1" s="1"/>
  <c r="O223" i="1" s="1"/>
  <c r="P223" i="1" s="1"/>
  <c r="K224" i="1"/>
  <c r="L224" i="1" s="1"/>
  <c r="M224" i="1" s="1"/>
  <c r="N224" i="1" s="1"/>
  <c r="O224" i="1" s="1"/>
  <c r="P224" i="1" s="1"/>
  <c r="K225" i="1"/>
  <c r="L225" i="1"/>
  <c r="M225" i="1" s="1"/>
  <c r="N225" i="1" s="1"/>
  <c r="O225" i="1" s="1"/>
  <c r="P225" i="1" s="1"/>
  <c r="K226" i="1"/>
  <c r="L226" i="1" s="1"/>
  <c r="M226" i="1" s="1"/>
  <c r="N226" i="1" s="1"/>
  <c r="O226" i="1" s="1"/>
  <c r="P226" i="1" s="1"/>
  <c r="K227" i="1"/>
  <c r="L227" i="1" s="1"/>
  <c r="M227" i="1" s="1"/>
  <c r="N227" i="1" s="1"/>
  <c r="O227" i="1" s="1"/>
  <c r="P227" i="1" s="1"/>
  <c r="K228" i="1"/>
  <c r="L228" i="1" s="1"/>
  <c r="M228" i="1" s="1"/>
  <c r="N228" i="1" s="1"/>
  <c r="O228" i="1" s="1"/>
  <c r="P228" i="1" s="1"/>
  <c r="K229" i="1"/>
  <c r="L229" i="1" s="1"/>
  <c r="M229" i="1" s="1"/>
  <c r="N229" i="1" s="1"/>
  <c r="O229" i="1" s="1"/>
  <c r="P229" i="1" s="1"/>
  <c r="K230" i="1"/>
  <c r="L230" i="1" s="1"/>
  <c r="M230" i="1" s="1"/>
  <c r="N230" i="1" s="1"/>
  <c r="O230" i="1" s="1"/>
  <c r="P230" i="1" s="1"/>
  <c r="K231" i="1"/>
  <c r="L231" i="1" s="1"/>
  <c r="M231" i="1" s="1"/>
  <c r="N231" i="1" s="1"/>
  <c r="O231" i="1" s="1"/>
  <c r="P231" i="1" s="1"/>
  <c r="K232" i="1"/>
  <c r="L232" i="1" s="1"/>
  <c r="M232" i="1" s="1"/>
  <c r="N232" i="1" s="1"/>
  <c r="O232" i="1" s="1"/>
  <c r="P232" i="1" s="1"/>
  <c r="K233" i="1"/>
  <c r="L233" i="1"/>
  <c r="M233" i="1" s="1"/>
  <c r="N233" i="1" s="1"/>
  <c r="O233" i="1" s="1"/>
  <c r="P233" i="1" s="1"/>
  <c r="K234" i="1"/>
  <c r="L234" i="1" s="1"/>
  <c r="M234" i="1" s="1"/>
  <c r="N234" i="1" s="1"/>
  <c r="O234" i="1" s="1"/>
  <c r="P234" i="1" s="1"/>
  <c r="K235" i="1"/>
  <c r="L235" i="1" s="1"/>
  <c r="M235" i="1" s="1"/>
  <c r="N235" i="1" s="1"/>
  <c r="O235" i="1" s="1"/>
  <c r="P235" i="1" s="1"/>
  <c r="K236" i="1"/>
  <c r="L236" i="1" s="1"/>
  <c r="M236" i="1"/>
  <c r="N236" i="1" s="1"/>
  <c r="O236" i="1" s="1"/>
  <c r="P236" i="1" s="1"/>
  <c r="K237" i="1"/>
  <c r="L237" i="1"/>
  <c r="M237" i="1" s="1"/>
  <c r="N237" i="1" s="1"/>
  <c r="O237" i="1" s="1"/>
  <c r="P237" i="1" s="1"/>
  <c r="K238" i="1"/>
  <c r="L238" i="1" s="1"/>
  <c r="M238" i="1" s="1"/>
  <c r="N238" i="1" s="1"/>
  <c r="O238" i="1" s="1"/>
  <c r="P238" i="1" s="1"/>
  <c r="K239" i="1"/>
  <c r="L239" i="1" s="1"/>
  <c r="M239" i="1" s="1"/>
  <c r="N239" i="1" s="1"/>
  <c r="O239" i="1" s="1"/>
  <c r="P239" i="1" s="1"/>
  <c r="K240" i="1"/>
  <c r="L240" i="1" s="1"/>
  <c r="M240" i="1" s="1"/>
  <c r="N240" i="1" s="1"/>
  <c r="O240" i="1" s="1"/>
  <c r="P240" i="1" s="1"/>
  <c r="K241" i="1"/>
  <c r="L241" i="1"/>
  <c r="M241" i="1" s="1"/>
  <c r="N241" i="1" s="1"/>
  <c r="O241" i="1" s="1"/>
  <c r="P241" i="1" s="1"/>
  <c r="K242" i="1"/>
  <c r="L242" i="1" s="1"/>
  <c r="M242" i="1" s="1"/>
  <c r="N242" i="1" s="1"/>
  <c r="O242" i="1" s="1"/>
  <c r="P242" i="1" s="1"/>
  <c r="K243" i="1"/>
  <c r="L243" i="1" s="1"/>
  <c r="M243" i="1" s="1"/>
  <c r="N243" i="1" s="1"/>
  <c r="O243" i="1" s="1"/>
  <c r="P243" i="1" s="1"/>
  <c r="K244" i="1"/>
  <c r="L244" i="1"/>
  <c r="M244" i="1" s="1"/>
  <c r="N244" i="1" s="1"/>
  <c r="O244" i="1" s="1"/>
  <c r="P244" i="1" s="1"/>
  <c r="K5" i="1"/>
  <c r="L5" i="1" s="1"/>
  <c r="O12" i="1" l="1"/>
  <c r="P12" i="1" s="1"/>
  <c r="M5" i="1"/>
  <c r="N5" i="1" s="1"/>
  <c r="O5" i="1" s="1"/>
  <c r="P5" i="1" s="1"/>
</calcChain>
</file>

<file path=xl/sharedStrings.xml><?xml version="1.0" encoding="utf-8"?>
<sst xmlns="http://schemas.openxmlformats.org/spreadsheetml/2006/main" count="1324" uniqueCount="498">
  <si>
    <t>Country</t>
  </si>
  <si>
    <t>Subject Descriptor</t>
  </si>
  <si>
    <t>Units</t>
  </si>
  <si>
    <t>Scale</t>
  </si>
  <si>
    <t>Country/Series-specific Notes</t>
  </si>
  <si>
    <t>Estimates Start After</t>
  </si>
  <si>
    <t>Afghanistan</t>
  </si>
  <si>
    <t>Volume of exports of goods</t>
  </si>
  <si>
    <t>Percent change</t>
  </si>
  <si>
    <t>Source: Various sources: Central Statistical Office; Directions of Trade Statistics; IMF staff Latest actual data: 2019 Base year: 2003 Methodology used to derive volumes: Deflation by survey-based price indexes Trade System: General trade Valuation of exports: Free on board (FOB) Valuation of imports: Free on board (FOB) Primary domestic currency: Afghan afghani Data last updated: 07/2021</t>
  </si>
  <si>
    <t>n/a</t>
  </si>
  <si>
    <t>Albania</t>
  </si>
  <si>
    <t>Source: Central Bank Latest actual data: 2020 Notes: Although quarterly trade data from Bank of Albania is available in BPM6, monthly goods export and import data from INSTAT is provided in BPM5. Base year: 2005 Methodology used to derive volumes: Other Formula used to derive volumes: Laspeyres-type Chain-weighted: No Trade System: General trade Oil coverage: Primary or unrefined products; Secondary or refined products; Valuation of exports: Free on board (FOB) Valuation of imports: Cost, insurance, freight (CIF) Primary domestic currency: Albanian lek Data last updated: 08/2021</t>
  </si>
  <si>
    <t>Algeria</t>
  </si>
  <si>
    <t>Source: Central Bank Latest actual data: 2020 Base year: 2005 Methodology used to derive volumes: Deflation by survey-based price indexes Chain-weighted: Yes, from 2005 Oil coverage: Hydrocarbons, related to the oil and gas sector Valuation of exports: Free on board (FOB) Valuation of imports: Cost, insurance, freight (CIF) Primary domestic currency: Algerian dinar Data last updated: 09/2021</t>
  </si>
  <si>
    <t>Andorra</t>
  </si>
  <si>
    <t>Angola</t>
  </si>
  <si>
    <t>Source: Central Bank. National Bank of Angola Latest actual data: 2020 Base year: 2005 Methodology used to derive volumes: Explicit volume numbers on exports are used (e.g. barrels exported). Import volumes are derived using an estimated unit value index. Formula used to derive volumes: Other Chain-weighted: No Trade System: General trade Oil coverage: Primary or unrefined products; Secondary or refined products; Other; Valuation of exports: Free on board (FOB) Valuation of imports: Cost, insurance, freight (CIF) Primary domestic currency: Angolan kwanza Data last updated: 09/2021</t>
  </si>
  <si>
    <t>Antigua and Barbuda</t>
  </si>
  <si>
    <t>Source: Central Bank Latest actual data: 2019 Notes: On account of a methodological change to the compilation of balance of payments statistics, data for BOP series before 2014 have been removed. Base year: 2006. 2014-2020 Compiled under BPM6 Methodology used to derive volumes: Other Formula used to derive volumes: Other Chain-weighted: No Trade System: General trade Oil coverage: Primary or unrefined products Primary domestic currency: Eastern Caribbean dollar Data last updated: 09/2021</t>
  </si>
  <si>
    <t>Argentina</t>
  </si>
  <si>
    <t>Source: National Statistics Office Latest actual data: 2020 Base year: 1996 Methodology used to derive volumes: Weighted average of volume changes Formula used to derive volumes: Laspeyres-type Chain-weighted: No Trade System: General trade Excluded items in trade: In transit; Other; Valuation of exports: Free on board (FOB) Valuation of imports: Cost, insurance, freight (CIF) Primary domestic currency: Argentine peso Data last updated: 09/2021</t>
  </si>
  <si>
    <t>Armenia</t>
  </si>
  <si>
    <t>Source: Central Bank Latest actual data: 2020 Base year: 2016 Methodology used to derive volumes: Deflation by unit value indexes (from customs data) Formula used to derive volumes: Not applicable Chain-weighted: No Trade System: General trade Excluded items in trade: Other; Oil coverage: Secondary or refined products; Valuation of exports: Free on board (FOB) Valuation of imports: Cost, insurance, freight (CIF) Primary domestic currency: Armenian dram Data last updated: 09/2021</t>
  </si>
  <si>
    <t>Aruba</t>
  </si>
  <si>
    <t>Australia</t>
  </si>
  <si>
    <t>Source: National Statistics Office. Australian Bureau of Statistics (via Haver Analytics) Latest actual data: 2020 Base year: 2005. Applies to export and import deflators. Data from the authorities are based on year 2011/12 Formula used to derive volumes: Laspeyres-type Chain-weighted: Yes, from before 1980. Annually-reweighted Trade System: General trade. General Merchandise Trade Oil coverage: Primary or unrefined products; Valuation of exports: Free on board (FOB) Valuation of imports: Cost, insurance, freight (CIF) Primary domestic currency: Australian dollar Data last updated: 09/2021</t>
  </si>
  <si>
    <t>Austria</t>
  </si>
  <si>
    <t>Source: Central Bank Latest actual data: 2019 Base year: 2005 Methodology used to derive volumes: Other Formula used to derive volumes: Other Chain-weighted: Yes, from 1988 Trade System: Other Excluded items in trade: Other; Oil coverage: Other; Valuation of exports: Free on board (FOB) Valuation of imports: Cost, insurance, freight (CIF) Primary domestic currency: Euro Data last updated: 09/2021</t>
  </si>
  <si>
    <t>Azerbaijan</t>
  </si>
  <si>
    <t>Source: National Statistics Office Latest actual data: 2020 Base year: 2016 Methodology used to derive volumes: Deflation by survey-based price indexes Formula used to derive volumes: Laspeyres-type Chain-weighted: No Trade System: General trade Excluded items in trade: In transit; Re-exports; Re-imports; Oil coverage: Primary or unrefined products; Valuation of exports: Free on board (FOB) Valuation of imports: Cost, insurance, freight (CIF) Primary domestic currency: Azerbaijan manat Data last updated: 08/2021</t>
  </si>
  <si>
    <t>The Bahamas</t>
  </si>
  <si>
    <t>Source: Central Bank Latest actual data: 2020 Base year: 2005 Methodology used to derive volumes: Other Formula used to derive volumes: Other Chain-weighted: No Trade System: General trade Excluded items in trade: Re-exports;. In Trade we excluded imports and re-exports of bunker fuel for aviation, but included it in the BOP. Oil coverage: Primary or unrefined products; Valuation of exports: Free on board (FOB) Valuation of imports: Cost, insurance, freight (CIF) Primary domestic currency: Bahamian dollar Data last updated: 09/2021</t>
  </si>
  <si>
    <t>Bahrain</t>
  </si>
  <si>
    <t>Source: Central Bank Latest actual data: 2020 Base year: 2011 Methodology used to derive volumes: Deflation by unit value indexes (from customs data) Formula used to derive volumes: Laspeyres-type Chain-weighted: No Trade System: General trade Valuation of exports: Free on board (FOB) Valuation of imports: Cost, insurance, freight (CIF) Primary domestic currency: Bahrain dinar Data last updated: 09/2021</t>
  </si>
  <si>
    <t>Bangladesh</t>
  </si>
  <si>
    <t>Source: Central Bank Latest actual data: FY2018/19 Base year: FY1990/91 Methodology used to derive volumes: Other Formula used to derive volumes: Not applicable Chain-weighted: No Valuation of exports: Free on board (FOB) Valuation of imports: Cost, insurance, freight (CIF) Primary domestic currency: Bangladesh taka Data last updated: 09/2021</t>
  </si>
  <si>
    <t>Barbados</t>
  </si>
  <si>
    <t>Source: Central Bank. Exports rise in 2011 due to merchandising being included in the BOP accounts that year. Latest actual data: 2019 Base year: 2005 Methodology used to derive volumes: WEO deflators Formula used to derive volumes: Other Chain-weighted: No Trade System: General trade Excluded items in trade: None Oil coverage: Primary or unrefined products; Secondary or refined products; Valuation of exports: Free on board (FOB) Valuation of imports: Cost, insurance, freight (CIF) Primary domestic currency: Barbados dollar Data last updated: 08/2021</t>
  </si>
  <si>
    <t>Belarus</t>
  </si>
  <si>
    <t>Source: National Statistics Office. Formally, the National Statistical Committee of the Republic of Belarus Latest actual data: 2020 Notes: Belarus purchases crude oil from Russia at a discounted world market price. Due to internal tax changes in Russia, this discount is projected to gradually fall to zero by the end of 2024. Current WEO projections for Belarus are based on information provided by the authorities on a bilateral oil price deal with Russia that is being negotiated, but is not yet formally signed. The dynamics of the imported oil price deflator is set by world prices as well as by the discount, so it does not follow world prices. Deflator of oil exports reflects (i) crude oil and (ii) oil products. Oil products are priced differently from crude oil. The historical values are taken from the authorities' data. Projections should broadly match WEO's numbers in terms of percentage changes. Base year: 2009 Methodology used to derive volumes: Cost index divided by Fisher price index. Formula used to derive volumes: Fisher Chain-weighted: No. Last update of weights was 2008. Trade System: General trade Excluded items in trade: In transit; Other;. Excluded items include transit goods and goods from U.N. methodology. Oil coverage: Primary or unrefined products; Secondary or refined products; Other; Valuation of exports: Delivered At Frontier (DAF) Valuation of imports: Cost, insurance, freight (CIF) Primary domestic currency: Belarusian ruble Data last updated: 09/2021</t>
  </si>
  <si>
    <t>Belgium</t>
  </si>
  <si>
    <t>Source: Central Bank Latest actual data: 2020 Base year: 2010 Methodology used to derive volumes: Weighted average of volume changes Valuation of exports: Free on board (FOB) Valuation of imports: Cost, insurance, freight (CIF) Primary domestic currency: Euro Data last updated: 09/2021</t>
  </si>
  <si>
    <t>Belize</t>
  </si>
  <si>
    <t>Source: Customs Authority Latest actual data: 2020 Base year: 2005 Methodology used to derive volumes: Deflation by survey-based price indexes Formula used to derive volumes: Laspeyres-type Chain-weighted: No Trade System: General trade Oil coverage: Primary or unrefined products; Secondary or refined products; Valuation of exports: Free on board (FOB) Valuation of imports: Cost, insurance, freight (CIF) Primary domestic currency: Belize dollar Data last updated: 09/2021</t>
  </si>
  <si>
    <t>Benin</t>
  </si>
  <si>
    <t>Source: Central Bank Latest actual data: 2019 Base year: 2005 Methodology used to derive volumes: Other Formula used to derive volumes: Other Chain-weighted: No Trade System: General trade Valuation of exports: Free on board (FOB) Valuation of imports: Other Primary domestic currency: CFA franc Data last updated: 07/2021</t>
  </si>
  <si>
    <t>Bhutan</t>
  </si>
  <si>
    <t>Source: Central Bank Latest actual data: FY2019/20 Base year: FY2005/06 Primary domestic currency: Bhutanese ngultrum Data last updated: 09/2021</t>
  </si>
  <si>
    <t>Bolivia</t>
  </si>
  <si>
    <t>Source: Central Bank Latest actual data: 2020 Base year: 2005 Methodology used to derive volumes: Weighted average of volume changes Formula used to derive volumes: Other Chain-weighted: Yes, from 2006 Trade System: General trade Excluded items in trade: Re-exports; Oil coverage: Primary or unrefined products; Secondary or refined products; Valuation of exports: Free on board (FOB) Valuation of imports: Cost, insurance, freight (CIF) Primary domestic currency: Bolivian boliviano Data last updated: 08/2021</t>
  </si>
  <si>
    <t>Bosnia and Herzegovina</t>
  </si>
  <si>
    <t>Source: National Statistics Office Latest actual data: 2020 Base year: 2010 Methodology used to derive volumes: Projections based on WEO assumptions for prices of main traded commodities and export deflators of main trading partners. Adjustments made based on analysis of demand-side decomposition of real GDP growth, informed by high frequency economic indicators. Formula used to derive volumes: Fisher Chain-weighted: No Trade System: Special trade Excluded items in trade: In transit; Re-exports; Re-imports; Oil coverage: Other; Valuation of exports: Free on board (FOB) Valuation of imports: Cost, insurance, freight (CIF) Primary domestic currency: Bosnian convertible marka Data last updated: 09/2021</t>
  </si>
  <si>
    <t>Botswana</t>
  </si>
  <si>
    <t>Source: National Statistics Office Latest actual data: 2020 Base year: 2000 Methodology used to derive volumes: Deflation by survey-based price indexes Formula used to derive volumes: Fisher Chain-weighted: No Trade System: General trade Excluded items in trade: None Oil coverage: Secondary or refined products; Valuation of exports: Free on board (FOB) Valuation of imports: Cost, insurance, freight (CIF) Primary domestic currency: Botswana pula Data last updated: 08/2021</t>
  </si>
  <si>
    <t>Brazil</t>
  </si>
  <si>
    <t>Source: Central Bank Latest actual data: 2020 Base year: 2018 Methodology used to derive volumes: Deflation by survey-based price indexes Formula used to derive volumes: Other Chain-weighted: No Trade System: General trade Valuation of exports: Free on board (FOB) Valuation of imports: Free on board (FOB) Primary domestic currency: Brazilian real Data last updated: 09/2021</t>
  </si>
  <si>
    <t>Brunei Darussalam</t>
  </si>
  <si>
    <t>Source: National Statistics Office. Department of Economic Planning and Development, Prime Minister's office. Latest actual data: 2020 Base year: 2005 Methodology used to derive volumes: Need to check with authorities. Formula used to derive volumes: Need to check with authorities. Chain-weighted: No Trade System: General trade Excluded items in trade: In transit; Low valued; Re-exports; Other; Oil coverage: Primary or unrefined products; Valuation of exports: Free on board (FOB) Valuation of imports: Cost, insurance, freight (CIF) Primary domestic currency: Brunei dollar Data last updated: 08/2021</t>
  </si>
  <si>
    <t>Bulgaria</t>
  </si>
  <si>
    <t>Source: National Statistics Office Latest actual data: 2020 Base year: 2005 Chain-weighted: Yes, from 2005 Trade System: General trade Valuation of exports: Free on board (FOB) Valuation of imports: Cost, insurance, freight (CIF) Primary domestic currency: Bulgarian lev Data last updated: 09/2021</t>
  </si>
  <si>
    <t>Burkina Faso</t>
  </si>
  <si>
    <t>Source: Central Bank Latest actual data: 2020 Base year: 1999 Methodology used to derive volumes: Deflation by unit value indexes (from customs data) Formula used to derive volumes: Other Chain-weighted: No Trade System: General trade Excluded items in trade: Other; Oil coverage: Secondary or refined products; Valuation of exports: Free on board (FOB) Valuation of imports: Cost, insurance, freight (CIF) Primary domestic currency: CFA franc Data last updated: 08/2021</t>
  </si>
  <si>
    <t>Burundi</t>
  </si>
  <si>
    <t>Source: Central Bank. Some data are staff estimates Latest actual data: 2020 Base year: 2000 Methodology used to derive volumes: Deflation by unit value indexes (from customs data) Formula used to derive volumes: Other Chain-weighted: No Trade System: General trade Valuation of exports: Free on board (FOB) Valuation of imports: Cost, insurance, freight (CIF) Primary domestic currency: Burundi franc Data last updated: 08/2021</t>
  </si>
  <si>
    <t>Cabo Verde</t>
  </si>
  <si>
    <t>Source: National Statistics Office Latest actual data: 2019 Base year: 2005 Methodology used to derive volumes: Other Trade System: General trade Valuation of exports: Free on board (FOB) Valuation of imports: Cost, insurance, freight (CIF) Primary domestic currency: Cabo Verdean escudo Data last updated: 09/2021</t>
  </si>
  <si>
    <t>Cambodia</t>
  </si>
  <si>
    <t>Source: National Statistics Office Latest actual data: 2019 Base year: 2010 Methodology used to derive volumes: Deflation by unit value indexes (from customs data) Formula used to derive volumes: Other Chain-weighted: No Trade System: General trade Excluded items in trade: Does not include cross border trade Oil coverage: Secondary or refined products; Valuation of exports: Free on board (FOB) Valuation of imports: Cost, insurance, freight (CIF) Primary domestic currency: Cambodian riel Data last updated: 08/2021</t>
  </si>
  <si>
    <t>Cameroon</t>
  </si>
  <si>
    <t>Source: National Statistics Office Latest actual data: 2020 Base year: 2000 Methodology used to derive volumes: Weighted average of volume changes Formula used to derive volumes: Other Chain-weighted: No. annually Trade System: General trade Excluded items in trade: In transit; Oil coverage: Primary or unrefined products;. Cameroon is an exporter of crude and some refined oil Valuation of exports: Free on board (FOB) Valuation of imports: Cost, insurance, freight (CIF) Primary domestic currency: CFA franc Data last updated: 09/2021</t>
  </si>
  <si>
    <t>Canada</t>
  </si>
  <si>
    <t>Source: National Statistics Office Latest actual data: 2020 Base year: 2014 Methodology used to derive volumes: Other Formula used to derive volumes: Fisher Chain-weighted: Yes, from 1997 Trade System: General trade Excluded items in trade: Re-exports; Re-imports; Oil coverage: Primary or unrefined products; Secondary or refined products;. Refers to energy exports (crude oil, natural gas, coal, and other) Valuation of exports: Free on board (FOB). Total energy is used for the oil export deflator Valuation of imports: Cost, insurance, freight (CIF). Total energy is used for the oil import deflator Primary domestic currency: Canadian dollar Data last updated: 09/2021</t>
  </si>
  <si>
    <t>Central African Republic</t>
  </si>
  <si>
    <t>Source: Central Bank Latest actual data: 2017 Base year: 2000 Methodology used to derive volumes: Deflation by unit value indexes (from customs data) Formula used to derive volumes: Other Chain-weighted: No Trade System: General trade Excluded items in trade: Re-exports; Re-imports; Oil coverage: Other; Valuation of exports: Free on board (FOB) Valuation of imports: Cost, insurance, freight (CIF) Primary domestic currency: CFA franc Data last updated: 08/2021</t>
  </si>
  <si>
    <t>Chad</t>
  </si>
  <si>
    <t>Source: Central Bank Latest actual data: 2015 Base year: 2000 Methodology used to derive volumes: Export volumes estimated directly. Import volume estimated by deflating values by partner non-oil export price index. Formula used to derive volumes: Laspeyres-type Chain-weighted: No Trade System: General trade Valuation of exports: Free on board (FOB) Valuation of imports: Other Primary domestic currency: CFA franc Data last updated: 09/2021</t>
  </si>
  <si>
    <t>Chile</t>
  </si>
  <si>
    <t>Source: Central Bank Latest actual data: 2020 Base year: 2013. Seasonally adjusted X and M data, therefore, base year is not equal to 100. Methodology used to derive volumes: Deflation by unit value indexes (from customs data) Formula used to derive volumes: Laspeyres-type Chain-weighted: No Trade System: General trade. The Free Zones are included as part of Chile´s economic territory. This means that customs declarations, which are compiled according to the Special Trade System, are adjusted, so that goods are registered as imports when they enter the Free Zones. Re-exports from the Free Zones are recorded as exports. Excluded items in trade: (According to BPM5, goods in direct transit are excluded. ) Valuation of exports: Free on board (FOB). Customs value of some big-scale exports is adjusted to better reflect market prices. Estimates of prices are made to adjust preliminary customs export data on goods sold on consignment or by other mechanisms according to which definite values are unknown at the time of shipment. Valuation of imports: Free on board (FOB) Primary domestic currency: Chilean peso Data last updated: 09/2021</t>
  </si>
  <si>
    <t>China</t>
  </si>
  <si>
    <t>Source: Customs Authority. General Administration of Customs (data retrieved from CEIC) Latest actual data: 2020 Base year: 2005 Methodology used to derive volumes: Deflation by unit value indexes (from customs data) Formula used to derive volumes: Derived from value index and unit value index Chain-weighted: No Oil coverage: Primary or unrefined products; Secondary or refined products; Valuation of exports: Free on board (FOB) Valuation of imports: Cost, insurance, freight (CIF) Primary domestic currency: Chinese yuan Data last updated: 09/2021</t>
  </si>
  <si>
    <t>Colombia</t>
  </si>
  <si>
    <t>Source: Central Bank Latest actual data: 2020 Base year: 2000 Valuation of exports: Free on board (FOB) Valuation of imports: Free on board (FOB) Primary domestic currency: Colombian peso Data last updated: 09/2021</t>
  </si>
  <si>
    <t>Comoros</t>
  </si>
  <si>
    <t>Source: Central Bank and IMF Staff Latest actual data: 2020 Base year: 1990 Methodology used to derive volumes: Other Formula used to derive volumes: Other Chain-weighted: No Trade System: Other Excluded items in trade: Other; Oil coverage: Secondary or refined products; Valuation of exports: Free on board (FOB) Valuation of imports: Cost, insurance, freight (CIF) Primary domestic currency: Comorian franc Data last updated: 09/2021</t>
  </si>
  <si>
    <t>Democratic Republic of the Congo</t>
  </si>
  <si>
    <t>Source: Central Bank Latest actual data: 2020 Base year: 2002 Methodology used to derive volumes: Fixed expenditure weights. Formula used to derive volumes: Laspeyres-type Chain-weighted: No Trade System: General trade Valuation of exports: Free on board (FOB) Valuation of imports: Cost, insurance, freight (CIF) Primary domestic currency: Congolese franc Data last updated: 08/2021</t>
  </si>
  <si>
    <t>Republic of Congo</t>
  </si>
  <si>
    <t>Source: Central Bank Latest actual data: 2018 Base year: 1990 Methodology used to derive volumes: Deflation by unit value indexes (from customs data) Formula used to derive volumes: Other Chain-weighted: No Trade System: General trade Excluded items in trade: Other; Oil coverage: Primary or unrefined products; Valuation of exports: Free on board (FOB) Valuation of imports: Cost, insurance, freight (CIF) Primary domestic currency: CFA franc Data last updated: 08/2021</t>
  </si>
  <si>
    <t>Costa Rica</t>
  </si>
  <si>
    <t>Source: Central Bank Latest actual data: 2020 Base year: 2009 Methodology used to derive volumes: Deflating values using price indices Chain-weighted: No Oil coverage: Primary or unrefined products; Secondary or refined products; Valuation of exports: Free on board (FOB) Valuation of imports: Cost, insurance, freight (CIF) Primary domestic currency: Costa Rican colón Data last updated: 09/2021</t>
  </si>
  <si>
    <t>Côte d'Ivoire</t>
  </si>
  <si>
    <t>Source: Central Bank Latest actual data: 2019 Base year: 2000 Methodology used to derive volumes: Other Formula used to derive volumes: Laspeyres-type Chain-weighted: No Trade System: General trade Excluded items in trade: Other; Oil coverage: Secondary or refined products; Valuation of exports: Free on board (FOB) Valuation of imports: Cost, insurance, freight (CIF) Primary domestic currency: CFA franc Data last updated: 09/2021</t>
  </si>
  <si>
    <t>Croatia</t>
  </si>
  <si>
    <t>Source: National Statistics Office. By the former Central Bureau of Statistics of the Republic of Croatia (CroStat), now the Croatian Bureau of Statistics (CBS, www.dzs.hr). Latest actual data: 2020 Notes: The authorities produce data from 1995 only; Earlier data result from splicing. Base year: 2005 Methodology used to derive volumes: Deflation by unit value indexes (from customs data). Export and import price indices were calculated as unit value indices, in other words, indices of the change of the export and import value per quantity unit of exported/imported goods, that is, per kilogram as a uniform and comparable quantity unit for all goods. Formula used to derive volumes: Fisher. Export and import price indices were calculated according to the Fisher's, so-called ideal, formula, which is a geometrical mean between the Laspeyres' and Paasche's formulae. Chain-weighted: No. Export and import price indices are calculated as monthly or quarterly as compared to the base year (previous year). For example, export and import price indices for the first quarter of 2011 are calculated as compared to the period from January to December 2010. Trade System: Special trade. Special - special trade in a wider sense: processing in customs warehouses and free zones are included. Excluded items in trade: In transit; Low valued; Re-exports; Re-imports;. This statistics does not include temporary export and import (less than two years) of goods that are returned to the owner in an unaltered state, services, monetary gold, goods used as carriers of customized information including software and software downloaded from the Internet, means of payment which are legal tender and securities, goods supplied free of charge which are not the subject of commercial transactions (advertising material and commercial samples), supplying of Croatian diplomatic missions abroad and foreign diplomatic missions in the Republic of Croatia, and temporary exports and imports for repair.For 2016, transaction imports below 1.8 million kuna and exports below 0.9 million kuna are exempted from statistical reports. Oil coverage: Primary or unrefined products; Secondary or refined products; Other; Valuation of exports: Free on board (FOB). The export values are calculated on the basis of the FOB parity. It means that the invoice value is reduced for transportation and other costs incurred from the Croatian border to the place of delivery abroad, if it is agreed that goods are delivered abroad. If it is agreed for delivery to take place in the country (Republic of Croatia), the invoice value is increased by the costs incurred from the place of delivery in Croatia to the Croatian border. Valuation of imports: Cost, insurance, freight (CIF). The import values are calculated on the basis of the CIF parity. It means that the invoice value is increased by transportation and other costs incurred from the place of delivery abroad to the Croatian border, if it is agreed that goods are delivered abroad. If it is agreed for delivery to take place in the country (Republic of Croatia), the invoice value is reduced for the costs incurred from the Croatian border to the place of delivery in Croatia. Primary domestic currency: Croatian kuna Data last updated: 09/2021</t>
  </si>
  <si>
    <t>Cyprus</t>
  </si>
  <si>
    <t>Source: National Statistics Office. National Accounts Latest actual data: 2020 Base year: 2008 Methodology used to derive volumes: Based on National Accounts Formula used to derive volumes: Based on National Accounts Chain-weighted: No Trade System: General trade Excluded items in trade: Other; Oil coverage: Primary or unrefined products; Secondary or refined products; Valuation of exports: Free on board (FOB) Valuation of imports: Cost, insurance, freight (CIF) Primary domestic currency: Euro Data last updated: 09/2021</t>
  </si>
  <si>
    <t>Czech Republic</t>
  </si>
  <si>
    <t>Source: National Statistics Office Latest actual data: 2019 Base year: 2005 Methodology used to derive volumes: Deflation by unit value indexes (from customs data) Formula used to derive volumes: Laspeyres-type Chain-weighted: Yes, from 2000 Valuation of exports: Free on board (FOB) Valuation of imports: Cost, insurance, freight (CIF) Primary domestic currency: Czech koruna Data last updated: 09/2021</t>
  </si>
  <si>
    <t>Denmark</t>
  </si>
  <si>
    <t>Source: National Statistics Office Latest actual data: 2020 Base year: 2010 Methodology used to derive volumes: Deflation by survey-based price indexes Formula used to derive volumes: Laspeyres-type Chain-weighted: Yes, from 1980 Trade System: General trade Excluded items in trade: In transit; Re-exports; Re-imports; Oil coverage: Primary or unrefined products; Secondary or refined products; Valuation of exports: Free on board (FOB) Valuation of imports: Cost, insurance, freight (CIF) Primary domestic currency: Danish krone Data last updated: 09/2021</t>
  </si>
  <si>
    <t>Djibouti</t>
  </si>
  <si>
    <t>Source: Central Bank Latest actual data: 2020 Notes: Volume of imports and exports are calculated as they are not provided by the authorities Base year: 2013 Methodology used to derive volumes: Other Formula used to derive volumes: Other Chain-weighted: No Trade System: General trade Excluded items in trade: In transit; Re-exports; Oil coverage: Primary or unrefined products; Other; Valuation of exports: Free on board (FOB) Valuation of imports: Free on board (FOB) Primary domestic currency: Djibouti franc Data last updated: 09/2021</t>
  </si>
  <si>
    <t>Dominica</t>
  </si>
  <si>
    <t>Source: Central Bank Latest actual data: 2018 Base year: 2006 Methodology used to derive volumes: We receive data on volumes from the Customs Office. Chain-weighted: No Primary domestic currency: Eastern Caribbean dollar Data last updated: 09/2021</t>
  </si>
  <si>
    <t>Dominican Republic</t>
  </si>
  <si>
    <t>Source: Central Bank Latest actual data: 2020 Base year: 2013 Methodology used to derive volumes: Deflation by survey-based price indexes Formula used to derive volumes: Laspeyres-type Chain-weighted: No Trade System: General trade Excluded items in trade: In transit; Re-exports; Oil coverage: Primary or unrefined products; Secondary or refined products; Valuation of exports: Free on board (FOB) Valuation of imports: Cost, insurance, freight (CIF) Primary domestic currency: Dominican peso Data last updated: 09/2021</t>
  </si>
  <si>
    <t>Ecuador</t>
  </si>
  <si>
    <t>Source: Central Bank Latest actual data: 2020 Base year: 2014 Valuation of exports: Free on board (FOB) Valuation of imports: Free on board (FOB) Primary domestic currency: US dollar Data last updated: 09/2021</t>
  </si>
  <si>
    <t>Egypt</t>
  </si>
  <si>
    <t>Source: Central Bank Latest actual data: FY2019/20 Base year: FY2004/05. Fiscal year 2004/2005 Valuation of exports: Nominal value Primary domestic currency: Egyptian pound Data last updated: 09/2021</t>
  </si>
  <si>
    <t>El Salvador</t>
  </si>
  <si>
    <t>Source: Central Bank Latest actual data: 2020 Base year: 2014 Methodology used to derive volumes: Deflation by unit value indexes (from customs data) Formula used to derive volumes: Other Chain-weighted: No Trade System: General trade Oil coverage: Primary or unrefined products; Secondary or refined products; Valuation of exports: Free on board (FOB) Valuation of imports: Other Primary domestic currency: US dollar Data last updated: 09/2021</t>
  </si>
  <si>
    <t>Equatorial Guinea</t>
  </si>
  <si>
    <t>Source: Central Bank. Central Bank. Banque des Etats de l'Afrique Centrale (BEAC) Latest actual data: 2017 Notes: IMF staff estimate export data from hydrocarbon and timber production and price information. Imports are estimated from final expenditure growth. Base year: 2007 Methodology used to derive volumes: Deflation by unit value indexes (from customs data) Formula used to derive volumes: Other Chain-weighted: No Trade System: General trade Excluded items in trade: Other; Oil coverage: Primary or unrefined products; Secondary or refined products; Valuation of exports: Free on board (FOB) Valuation of imports: Cost, insurance, freight (CIF) Primary domestic currency: CFA franc Data last updated: 08/2021</t>
  </si>
  <si>
    <t>Eritrea</t>
  </si>
  <si>
    <t>Source: Central Bank Latest actual data: 2018 Base year: 2005 Excluded items in trade: Re-exports; Valuation of exports: Free on board (FOB) Valuation of imports: Cost, insurance, freight (CIF) Primary domestic currency: Eritrean nakfa Data last updated: 07/2021</t>
  </si>
  <si>
    <t>Estonia</t>
  </si>
  <si>
    <t>Source: Central Bank and Statistics of Estonia Latest actual data: 2020 Base year: 2015. Chain-weighted volumes Methodology used to derive volumes: Chain-weighted volumes Formula used to derive volumes: Chain-weighted volumes Chain-weighted: Yes, from 1995 Trade System: General trade Oil coverage: the oil and non-oil decomposition in real terms are based on WEO provided prices Valuation of exports: Free on board (FOB) Valuation of imports: Cost, insurance, freight (CIF) Primary domestic currency: Euro Data last updated: 09/2021</t>
  </si>
  <si>
    <t>Eswatini</t>
  </si>
  <si>
    <t>Source: Central Bank. Updated methodology has been applied to the series. Prior to 2002, the data are adjusted using previous historical data as proxies to produce smooth series with the use of splicing technique. Historical data are updated on a continual basis as more information becomes available. Latest actual data: 2020 Base year: 2000 Methodology used to derive volumes: Deflation by unit value indexes (from customs data) Formula used to derive volumes: Laspeyres-type Chain-weighted: No. updates are not done regularly Trade System: Special trade Excluded items in trade: In transit; Oil coverage: Secondary or refined products; Valuation of exports: Free on board (FOB) Valuation of imports: Cost, insurance, freight (CIF) Primary domestic currency: Swazi lilangeni Data last updated: 08/2021</t>
  </si>
  <si>
    <t>Ethiopia</t>
  </si>
  <si>
    <t>Source: Central Bank Latest actual data: FY2019/20 Notes: Data refer to fiscal years (July /June). Data for 2012 represent fiscal year 2011/2012. Base year: FY1999/2000 Methodology used to derive volumes: Weighted average of volume changes Formula used to derive volumes: Laspeyres-type Chain-weighted: No Trade System: General trade Excluded items in trade: In transit; Re-exports; Re-imports; Oil coverage: Secondary or refined products; Valuation of exports: Free on board (FOB) Valuation of imports: Cost, insurance, freight (CIF) Primary domestic currency: Ethiopian birr Data last updated: 09/2021</t>
  </si>
  <si>
    <t>Fiji</t>
  </si>
  <si>
    <t>Finland</t>
  </si>
  <si>
    <t>Source: National Statistics Office. Other sources: Statistics Finland; Finnish Board of Customs (Tulli) Latest actual data: 2020 Base year: 2000 Methodology used to derive volumes: Chain weighted volumes Chain-weighted: Yes, from 1980 Trade System: General trade Excluded items in trade: In transit; Re-exports; Re-imports; Oil coverage: Primary or unrefined products; Secondary or refined products; Valuation of exports: Free on board (FOB) Valuation of imports: Cost, insurance, freight (CIF) Primary domestic currency: Euro Data last updated: 09/2021</t>
  </si>
  <si>
    <t>France</t>
  </si>
  <si>
    <t>Source: National Statistics Office Latest actual data: 2020 Base year: 2010 Primary domestic currency: Euro Data last updated: 09/2021</t>
  </si>
  <si>
    <t>Gabon</t>
  </si>
  <si>
    <t>Source: Central Bank Latest actual data: 2019 Base year: 2001 Methodology used to derive volumes: Weighted average of volume changes Formula used to derive volumes: Other Chain-weighted: Yes, from 2012 Trade System: General trade Excluded items in trade: In transit; Re-exports; Re-imports; Oil coverage: Primary or unrefined products; Valuation of exports: Free on board (FOB) Valuation of imports: Cost, insurance, freight (CIF) Primary domestic currency: CFA franc Data last updated: 09/2021</t>
  </si>
  <si>
    <t>The Gambia</t>
  </si>
  <si>
    <t>Source: National Statistics Office Latest actual data: 2019 Base year: 2000 Methodology used to derive volumes: Deflation by unit value indexes (from customs data) Formula used to derive volumes: Based on staff estimate Chain-weighted: No Trade System: General trade Excluded items in trade: Low valued; Oil coverage: Secondary or refined products; Valuation of exports: Free on board (FOB) Valuation of imports: Cost, insurance, freight (CIF) Primary domestic currency: Gambian dalasi Data last updated: 09/2021</t>
  </si>
  <si>
    <t>Georgia</t>
  </si>
  <si>
    <t>Source: National Statistics Office Latest actual data: 2020 Base year: 2005 Methodology used to derive volumes: Not applicable. Trade volumes not produced by Geostat. Formula used to derive volumes: Not applicable Trade System: General trade Excluded items in trade: In transit; Other; Valuation of exports: Free on board (FOB) Valuation of imports: Cost, insurance, freight (CIF) Primary domestic currency: Georgian lari Data last updated: 09/2021</t>
  </si>
  <si>
    <t>Germany</t>
  </si>
  <si>
    <t>Source: Central Bank Latest actual data: 2020 Base year: 2000 Methodology used to derive volumes: Weighted average of volume changes Formula used to derive volumes: Other Chain-weighted: Yes, from 1991 Trade System: General trade Valuation of exports: Free on board (FOB) Valuation of imports: Cost, insurance, freight (CIF) Primary domestic currency: Euro Data last updated: 09/2021</t>
  </si>
  <si>
    <t>Ghana</t>
  </si>
  <si>
    <t>Source: Central Bank Latest actual data: 2019 Base year: 2011 Methodology used to derive volumes: Weighted average of volume changes Formula used to derive volumes: Other Chain-weighted: No Trade System: General trade Oil coverage: Secondary or refined products; Valuation of exports: Free on board (FOB) Valuation of imports: Cost, insurance, freight (CIF) Primary domestic currency: Ghanaian cedi Data last updated: 08/2021</t>
  </si>
  <si>
    <t>Greece</t>
  </si>
  <si>
    <t>Source: National Statistics Office. Formally, the National Statistics Office (ELSTAT). Based on customs data. Latest actual data: 2020 Base year: 2015 Methodology used to derive volumes: National authorities do not collect information for volumes. Data calculated from national accounts statistics. Formula used to derive volumes: Other Chain-weighted: No Trade System: General trade Excluded items in trade: Includes all transactions Oil coverage: Primary or unrefined products; Secondary or refined products;. Most imports are unrefined while most exports are refined. Valuation of exports: Free on board (FOB) Valuation of imports: Free on board (FOB) Primary domestic currency: Euro Data last updated: 09/2021</t>
  </si>
  <si>
    <t>Grenada</t>
  </si>
  <si>
    <t>Source: Central Bank Latest actual data: 2019 Notes: On account of a methodological change to the compilation of balance of payments statistics, data for BOP series before 2014 have been removed. Base year: 1999 Methodology used to derive volumes: Weighted average of volume changes Trade System: General trade Valuation of exports: Free on board (FOB) Valuation of imports: Cost, insurance, freight (CIF) Primary domestic currency: Eastern Caribbean dollar Data last updated: 09/2021</t>
  </si>
  <si>
    <t>Guatemala</t>
  </si>
  <si>
    <t>Source: Central Bank Latest actual data: 2020 Base year: 2004 Methodology used to derive volumes: Other Formula used to derive volumes: Other Chain-weighted: No Trade System: General trade Excluded items in trade: Other; Oil coverage: Other; Valuation of exports: Free on board (FOB) Valuation of imports: Free on board (FOB) Primary domestic currency: Guatemalan quetzal Data last updated: 08/2021</t>
  </si>
  <si>
    <t>Guinea</t>
  </si>
  <si>
    <t>Source: Central Bank Latest actual data: 2019 Base year: 2018 Primary domestic currency: Guinean franc Data last updated: 08/2021</t>
  </si>
  <si>
    <t>Guinea-Bissau</t>
  </si>
  <si>
    <t>Source: Central Bank Latest actual data: 2019 Base year: 2010 Methodology used to derive volumes: Other Formula used to derive volumes: Laspeyres-type Chain-weighted: No Trade System: General trade Oil coverage: Secondary or refined products; Valuation of exports: Free on board (FOB) Valuation of imports: Cost, insurance, freight (CIF) Primary domestic currency: CFA franc Data last updated: 08/2021</t>
  </si>
  <si>
    <t>Guyana</t>
  </si>
  <si>
    <t>Source: Bureau of Statistics and Central Bank Latest actual data: 2020 Base year: 2012 Methodology used to derive volumes: Weighted average of volume changes. Ratio of export value index and Törnqvist price index Formula used to derive volumes: Törnqvist Index Chain-weighted: Yes, from 1996. Rolling average of previous two years weights in total exports/imports Trade System: General trade Oil coverage: Secondary or refined products; Valuation of exports: Free on board (FOB) Valuation of imports: Cost, insurance, freight (CIF) Primary domestic currency: Guyanese dollar Data last updated: 09/2021</t>
  </si>
  <si>
    <t>Haiti</t>
  </si>
  <si>
    <t>Source: Central Bank Latest actual data: FY2019/20 Base year: FY2015/16 Primary domestic currency: Haitian gourde Data last updated: 09/2021</t>
  </si>
  <si>
    <t>Honduras</t>
  </si>
  <si>
    <t>Source: Central Bank Latest actual data: 2019 Base year: 2005 Methodology used to derive volumes: Other Formula used to derive volumes: Other Chain-weighted: No Trade System: General trade Excluded items in trade: Other; Oil coverage: Secondary or refined products; Valuation of exports: Free on board (FOB) Valuation of imports: Free on board (FOB) Primary domestic currency: Honduran lempira Data last updated: 09/2021</t>
  </si>
  <si>
    <t>Hong Kong SAR</t>
  </si>
  <si>
    <t>Source: National Statistics Office. Data retrieved from Haver Latest actual data: 2020 Base year: 2000 Methodology used to derive volumes: Deflation by unit value indexes (from customs data). Customs data used for merchandise trade. Trade in services statistics are compiled based on data collected via various sources, including establishment and household surveys, administrative records and other data sources Formula used to derive volumes: Use the value index, unit value index and quantum index to measure the changes in value, prices and volume of external merchandise trade respectively. Chain-weighted: No Trade System: General trade Excluded items in trade: In transit; Other;. Excludes transactions in gold and specie Oil coverage: Primary or unrefined products; Secondary or refined products;. By country and commodity SITC 2nd digit Valuation of exports: Free on board (FOB) Valuation of imports: Cost, insurance, freight (CIF) Primary domestic currency: Hong Kong dollar Data last updated: 09/2021</t>
  </si>
  <si>
    <t>Hungary</t>
  </si>
  <si>
    <t>Source: Central Bank. The Central bank's original source is the National Statistical Office Latest actual data: 2020 Base year: 2005 Methodology used to derive volumes: Volumes are derived using the methodology described in WEO trade conversion calculations spreadsheet Formula used to derive volumes: Laspeyres-type Chain-weighted: No Trade System: General trade Excluded items in trade: Other; Oil coverage: Other; Valuation of exports: Free on board (FOB) Valuation of imports: Cost, insurance, freight (CIF) Primary domestic currency: Hungarian forint Data last updated: 09/2021</t>
  </si>
  <si>
    <t>Iceland</t>
  </si>
  <si>
    <t>Source: National Statistics Office Latest actual data: 2020 Base year: 2005 Methodology used to derive volumes: Deflation by unit value indexes (from customs data) Formula used to derive volumes: Fisher Chain-weighted: Yes, from 1990 Trade System: Special trade Excluded items in trade: In transit; Re-imports;. In accordance with ESA 2010. Oil coverage: Petroleum, petroleum products Valuation of exports: Free on board (FOB) Valuation of imports: Free on board (FOB) Primary domestic currency: Icelandic króna Data last updated: 09/2021</t>
  </si>
  <si>
    <t>India</t>
  </si>
  <si>
    <t>Source: Central Bank Latest actual data: FY2019/20 Base year: FY1999/2000 Methodology used to derive volumes: Deflation by survey-based price indexes. Volumes are computed from current price data deflated by WEO price indexes and National Statistical Office price indexes. Formula used to derive volumes: Laspeyres-type Chain-weighted: No Trade System: General trade Excluded items in trade: In transit; Oil coverage: Primary or unrefined products; Secondary or refined products; Valuation of exports: Free on board (FOB) Valuation of imports: Cost, insurance, freight (CIF) Primary domestic currency: Indian rupee Data last updated: 09/2021</t>
  </si>
  <si>
    <t>Indonesia</t>
  </si>
  <si>
    <t>Source: National Statistics Office. Accessed via CEIC Latest actual data: 2020 Base year: 2000 Methodology used to derive volumes: Other Formula used to derive volumes: Laspeyres-type Chain-weighted: No Trade System: General trade Excluded items in trade: Goods of diplomat, a part of goods directly exported/imported by armed forces, goods for expeditions and exhibition shows. Oil coverage: Primary or unrefined products; Secondary or refined products; Valuation of exports: Free on board (FOB) Valuation of imports: Other Primary domestic currency: Indonesian rupiah Data last updated: 09/2021</t>
  </si>
  <si>
    <t>Islamic Republic of Iran</t>
  </si>
  <si>
    <t>Source: Central Bank Latest actual data: FY2019/20 Notes: Data prior to 1990 cannot be confirmed by national sources at this time. Base year: FY2000/01 Methodology used to derive volumes: Deflation by unit value indexes (from customs data) Formula used to derive volumes: Laspeyres-type Chain-weighted: No Trade System: General trade Oil coverage: Primary or unrefined products; Secondary or refined products; Valuation of exports: Free on board (FOB) Valuation of imports: Other Primary domestic currency: Iranian rial Data last updated: 08/2021</t>
  </si>
  <si>
    <t>Iraq</t>
  </si>
  <si>
    <t>Ireland</t>
  </si>
  <si>
    <t>Source: National Statistics Office. Central Statistical Office of Ireland (CSO) Latest actual data: 2020 Base year: 2015 Methodology used to derive volumes: For goods - average of unit value indices and producer price indices are used. For services - price surveys are used only for services deflation on a quarterly basis. Formula used to derive volumes: Fisher. Fisher chain-linked estimate is used for the annual data. Chain-weighted: Yes, from 1995 Trade System: General trade Excluded items in trade: In transit; Low valued; Oil coverage: Primary or unrefined products; Secondary or refined products; Valuation of exports: Free on board (FOB) Valuation of imports: Cost, insurance, freight (CIF) Primary domestic currency: Euro Data last updated: 09/2021</t>
  </si>
  <si>
    <t>Israel</t>
  </si>
  <si>
    <t>Source: Other Latest actual data: 2020 Base year: 2010 Methodology used to derive volumes: Deflation by survey-based price indexes Formula used to derive volumes: Fisher Chain-weighted: Yes, from 1995 Trade System: Special trade Excluded items in trade: In transit; Oil coverage: Primary or unrefined products; Secondary or refined products; Valuation of exports: Free on board (FOB) Valuation of imports: Cost, insurance, freight (CIF) Primary domestic currency: Israeli new shekel Data last updated: 09/2021</t>
  </si>
  <si>
    <t>Italy</t>
  </si>
  <si>
    <t>Source: National Statistics Office Latest actual data: 2020 Base year: 2005 Methodology used to derive volumes: Deflation by unit value indexes (from customs data) Chain-weighted: Yes, from 2000 Trade System: General trade Valuation of exports: Free on board (FOB) Valuation of imports: Cost, insurance, freight (CIF) Primary domestic currency: Euro Data last updated: 09/2021</t>
  </si>
  <si>
    <t>Jamaica</t>
  </si>
  <si>
    <t>Source: Central Bank Latest actual data: 2019 Base year: 2005 Methodology used to derive volumes: Deflation by survey-based price indexes Formula used to derive volumes: Laspeyres-type Chain-weighted: No Trade System: General trade Excluded items in trade: Re-exports; Re-imports; Oil coverage: Primary or unrefined products; Secondary or refined products; Valuation of exports: Free on board (FOB) Valuation of imports: Free on board (FOB) Primary domestic currency: Jamaican dollar Data last updated: 09/2021</t>
  </si>
  <si>
    <t>Japan</t>
  </si>
  <si>
    <t>Source: Cabinet Office of Japan via Haver database. Latest actual data: 2020 Base year: 2011 Methodology used to derive volumes: Deflation by survey-based price indexes Formula used to derive volumes: Based on the Balance of Payment Chain-weighted: No Trade System: General trade Excluded items in trade: Other; Oil coverage: Primary or unrefined products; Secondary or refined products; Other; Valuation of exports: Free on board (FOB). Based on the BOP Valuation of imports: Cost, insurance, freight (CIF). Based on the BOP Primary domestic currency: Japanese yen Data last updated: 09/2021</t>
  </si>
  <si>
    <t>Jordan</t>
  </si>
  <si>
    <t>Source: Central Bank Latest actual data: 2019 Base year: 1994 Methodology used to derive volumes: Weighted average of volume changes Formula used to derive volumes: Other Chain-weighted: No Excluded items in trade: Re-imports; Oil coverage: Unrefined and refined products Valuation of exports: Free on board (FOB) Valuation of imports: Other Primary domestic currency: Jordanian dinar Data last updated: 08/2021</t>
  </si>
  <si>
    <t>Kazakhstan</t>
  </si>
  <si>
    <t>Source: Central Bank Latest actual data: 2019 Base year: 2005 Chain-weighted: No Trade System: General trade Oil coverage: Primary or unrefined products; Secondary or refined products; Valuation of exports: Free on board (FOB) Valuation of imports: Cost, insurance, freight (CIF) Primary domestic currency: Kazakhstani tenge Data last updated: 08/2021</t>
  </si>
  <si>
    <t>Kenya</t>
  </si>
  <si>
    <t>Source: Central Bank Latest actual data: 2019 Base year: 2009 Methodology used to derive volumes: Deflation by unit value indexes (from customs data) Chain-weighted: No Trade System: General trade Excluded items in trade: Re-exports; Re-imports; Oil coverage: Primary or unrefined products; Valuation of exports: Free on board (FOB) Valuation of imports: Cost, insurance, freight (CIF) Primary domestic currency: Kenyan shilling Data last updated: 09/2021</t>
  </si>
  <si>
    <t>Kiribati</t>
  </si>
  <si>
    <t>Source: National Statistics Office. Data from STA database ID:BOP (submitted to STA by authorities) Latest actual data: 2019 Base year: 2006 Methodology used to derive volumes: Deflation by survey-based price indexes Formula used to derive volumes: Laspeyres-type Excluded items in trade: In transit; Low valued; Re-exports; Re-imports; Other; Valuation of exports: Free on board (FOB) Valuation of imports: Cost, insurance, freight (CIF) Primary domestic currency: Australian dollar Data last updated: 08/2021</t>
  </si>
  <si>
    <t>Korea</t>
  </si>
  <si>
    <t>Source: Central Bank Latest actual data: 2020 Base year: 2010 Methodology used to derive volumes: Weighted average of volume changes Formula used to derive volumes: Other Chain-weighted: No Trade System: General trade Excluded items in trade: In transit; Re-imports; Other;. For other, the following goods are excluded from trade statistics: o - Goods sold where duration of storage has expired according to the provision of Article 208 of Customs Act. o - Goods reserved to national treasury according to the provision of Article 126 of Customs Act. o - Goods destructed or scrapped according to the provision of Article 127 of Customs Act. o - Goods forfeited or additionally collected according to the provision of Article 128 of Customs Act. o - Goods lost, stolen, depreciated or destroyed in bonded area. o - Goods in bonded sales shop. o - Goods in transit through Korea. o - Goods returned prior to import clearance. o - Monetary gold and silver, negotiable securities, and monetary coins and paper money in current circulation. o - Goods of A.T.A Carnet. o - Goods consigned to diplomatic missions. o - Goods for improvement or repair. o - Goods temporarily imported or exported for international events, athletic meeting, exhibition, etc. o - Goods leased less than one year or goods on operational lease. o - Goods considered to be samples for sales promotions. o - Vessels constructed in bonded factory under the condition of acquiring Korean nationality. o - Goods considered not relating to merchandise trade. Oil coverage: Cannot verify. Valuation of exports: Free on board (FOB) Valuation of imports: Other Primary domestic currency: South Korean won Data last updated: 09/2021</t>
  </si>
  <si>
    <t>Kosovo</t>
  </si>
  <si>
    <t>Source: Central Bank Latest actual data: 2020 Base year: 2016 Methodology used to derive volumes: Assumes constant prices Formula used to derive volumes: Other Chain-weighted: No Trade System: Special trade Excluded items in trade: In transit; Valuation of exports: Free on board (FOB) Valuation of imports: Cost, insurance, freight (CIF) Primary domestic currency: Euro Data last updated: 09/2021</t>
  </si>
  <si>
    <t>Kuwait</t>
  </si>
  <si>
    <t>Source: Central Bank Latest actual data: 2019 Base year: 2010. Nominal data has been revised by country authorities, therefore, deflators do not add to 100 until the Real figures get revised. Methodology used to derive volumes: Nominal value deflated Formula used to derive volumes: Other Chain-weighted: No Trade System: General trade Oil coverage: Primary or unrefined products; Secondary or refined products; Valuation of exports: Free on board (FOB) Valuation of imports: Cost, insurance, freight (CIF) Primary domestic currency: Kuwaiti dinar Data last updated: 09/2021</t>
  </si>
  <si>
    <t>Kyrgyz Republic</t>
  </si>
  <si>
    <t>Source: Central Bank Latest actual data: 2019 Base year: 2005 Methodology used to derive volumes: Weighted average of volume changes Formula used to derive volumes: Laspeyres-type Chain-weighted: No Trade System: General trade Excluded items in trade: In transit; Low valued; Re-exports; Re-imports; Oil coverage: Primary or unrefined products; Valuation of exports: Free on board (FOB) Valuation of imports: Cost, insurance, freight (CIF) Primary domestic currency: Kyrgyz som Data last updated: 08/2021</t>
  </si>
  <si>
    <t>Lao P.D.R.</t>
  </si>
  <si>
    <t>Source: International Financial Institution. IMF Direction of Trade Statistics Latest actual data: 2020 Base year: 2005 Methodology used to derive volumes: Deflate by price indices provided by WEO Formula used to derive volumes: Deflate by price indices provided by WEO Chain-weighted: Yes, from 2005 Valuation of exports: Free on board (FOB) Valuation of imports: Cost, insurance, freight (CIF) Primary domestic currency: Lao kip Data last updated: 07/2021</t>
  </si>
  <si>
    <t>Latvia</t>
  </si>
  <si>
    <t>Source: Central Bank Latest actual data: 2020 Base year: 2005 Methodology used to derive volumes: Weighted average of volume changes Formula used to derive volumes: Chain-linked Chain-weighted: Yes, from 2010 Trade System: General trade Excluded items in trade: In transit; Re-exports; Re-imports; Other;. Goods imported to customs warehouses from abroad and exported from customs warehouses abroad are excluded from the total Oil coverage: Other; Valuation of exports: Free on board (FOB) Valuation of imports: Cost, insurance, freight (CIF) Primary domestic currency: Euro Data last updated: 09/2021</t>
  </si>
  <si>
    <t>Lebanon</t>
  </si>
  <si>
    <t>Source: Ministry of Finance or Treasury Latest actual data: 2019 Base year: 2005 Methodology used to derive volumes: Deflation by survey-based price indexes Formula used to derive volumes: Other Chain-weighted: No Trade System: Special trade Excluded items in trade: Re-imports; Oil coverage: Secondary or refined products; Valuation of exports: Free on board (FOB) Valuation of imports: Cost, insurance, freight (CIF) Primary domestic currency: Lebanese pound Data last updated: 09/2021</t>
  </si>
  <si>
    <t>Lesotho</t>
  </si>
  <si>
    <t>Source: Central Bank Latest actual data: FY2020/21 Base year: FY2010/11 Methodology used to derive volumes: Weighted average of volume changes Formula used to derive volumes: Laspeyres-type Chain-weighted: Yes, from 1982 Trade System: General trade Excluded items in trade: In transit; Re-exports; Re-imports; Oil coverage: Secondary or refined products; Other; Valuation of exports: Free on board (FOB) Valuation of imports: Cost, insurance, freight (CIF) Primary domestic currency: Lesotho loti Data last updated: 08/2021</t>
  </si>
  <si>
    <t>Liberia</t>
  </si>
  <si>
    <t>Source: Central Bank. Central Bank of Liberia Latest actual data: 2019 Notes: The imports data for 2010-2017 were replaced by custom-based ASYCUDA data, which recently became available to the team. Exports data have been revised up based on the preliminary estimates of the GDP revision. These staff estimates will be replaced once official data become available. Base year: 2018 Methodology used to derive volumes: Deflation by survey-based price indexes Formula used to derive volumes: Laspeyres-type Chain-weighted: No Trade System: General trade Excluded items in trade: Other; Oil coverage: Other; Valuation of exports: Free on board (FOB) Valuation of imports: Cost, insurance, freight (CIF) Primary domestic currency: US dollar Data last updated: 08/2021</t>
  </si>
  <si>
    <t>Libya</t>
  </si>
  <si>
    <t>Source: Central Bank Latest actual data: 2017 Base year: 1997 Primary domestic currency: Libyan dinar Data last updated: 09/2021</t>
  </si>
  <si>
    <t>Lithuania</t>
  </si>
  <si>
    <t>Luxembourg</t>
  </si>
  <si>
    <t>Source: National Statistics Office Latest actual data: 2020 Base year: 2010 Methodology used to derive volumes: data from source Formula used to derive volumes: Laspeyres-type. data from source Chain-weighted: Yes, from 2000 Trade System: General trade Excluded items in trade: None Oil coverage: Secondary or refined products; Valuation of exports: Free on board (FOB) Valuation of imports: Cost, insurance, freight (CIF) Primary domestic currency: Euro Data last updated: 08/2021</t>
  </si>
  <si>
    <t>Macao SAR</t>
  </si>
  <si>
    <t>Madagascar</t>
  </si>
  <si>
    <t>Source: Central Bank Latest actual data: 2019 Base year: 2010 Methodology used to derive volumes: Not applicable Formula used to derive volumes: Not applicable Chain-weighted: No Trade System: General trade Excluded items in trade: In transit; Low valued; Re-exports; Re-imports; Valuation of exports: Free on board (FOB) Valuation of imports: Free on board (FOB) Primary domestic currency: Malagasy ariary Data last updated: 09/2021</t>
  </si>
  <si>
    <t>Malawi</t>
  </si>
  <si>
    <t>Source: National Statistics Office Latest actual data: 2020 Base year: 2005 Valuation of exports: Free on board (FOB) Valuation of imports: Cost, insurance, freight (CIF) Primary domestic currency: Malawian kwacha Data last updated: 09/2021</t>
  </si>
  <si>
    <t>Malaysia</t>
  </si>
  <si>
    <t>Source: National Statistics Office. From Department of Statistics Malaysia (DOS) downloaded via CEIC Latest actual data: 2020 Base year: 2005 Methodology used to derive volumes: Deflation by unit value indexes (from customs data) Formula used to derive volumes: Laspeyres-type Chain-weighted: No Trade System: General trade Excluded items in trade: Other; Oil coverage: Primary or unrefined products; Secondary or refined products;. Includes crude oil Valuation of exports: Free on board (FOB) Valuation of imports: Cost, insurance, freight (CIF) Primary domestic currency: Malaysian ringgit Data last updated: 09/2021</t>
  </si>
  <si>
    <t>Maldives</t>
  </si>
  <si>
    <t>Source: Central Bank. Maldives Customs service Latest actual data: 2020 Base year: 2005 Methodology used to derive volumes: Weighted average of volume changes Formula used to derive volumes: Other Chain-weighted: No Trade System: General trade Excluded items in trade: Other; Oil coverage: Secondary or refined products;. Re-export jet fuel Valuation of exports: Free on board (FOB) Valuation of imports: Cost, insurance, freight (CIF) Primary domestic currency: Maldivian rufiyaa Data last updated: 09/2021</t>
  </si>
  <si>
    <t>Mali</t>
  </si>
  <si>
    <t>Source: Central Bank Latest actual data: 2019 Base year: 1998 Methodology used to derive volumes: trade volumes directly from the authorities' data on physical exports of main categories (agricultural products, cotton, gold) Formula used to derive volumes: trade volumes directly from the authorities' data on physical exports of main categories (agricultural products, cotton, gold) Chain-weighted: No Trade System: Special trade Oil coverage: Primary or unrefined products; Valuation of exports: Free on board (FOB) Valuation of imports: Cost, insurance, freight (CIF) Primary domestic currency: CFA franc Data last updated: 09/2021</t>
  </si>
  <si>
    <t>Malta</t>
  </si>
  <si>
    <t>Source: National Statistics Office Latest actual data: 2020 Base year: 2008 Methodology used to derive volumes: The data are recorded at current and constant prices and include the corresponding implicit price indices. Chain-weighted: Yes, from 2008 Trade System: General trade Valuation of exports: Free on board (FOB) Valuation of imports: Free on board (FOB) Primary domestic currency: Euro Data last updated: 09/2021</t>
  </si>
  <si>
    <t>Marshall Islands</t>
  </si>
  <si>
    <t>Mauritania</t>
  </si>
  <si>
    <t>Source: National Statistics Office Latest actual data: 2020 Base year: 2005 Methodology used to derive volumes: Weighted average of volume changes Formula used to derive volumes: Laspeyres-type Chain-weighted: No Trade System: General trade Excluded items in trade: Other; Oil coverage: Primary or unrefined products; Valuation of exports: Free on board (FOB) Valuation of imports: Cost, insurance, freight (CIF) Primary domestic currency: New Mauritanian ouguiya Data last updated: 09/2021</t>
  </si>
  <si>
    <t>Mauritius</t>
  </si>
  <si>
    <t>Source: Central Bank Latest actual data: 2020 Base year: 2005. Oil deflators on 2000 base year. Methodology used to derive volumes: Deflation by survey-based price indexes. Component-based goods trade exports and import deflators from GEE Formula used to derive volumes: Deflate by GEE-provided deflators. Chain-weighted: No Trade System: General trade Excluded items in trade: In transit; Low valued; Re-exports; Re-imports; Oil coverage: Secondary or refined products; Other; Valuation of exports: Free on board (FOB) Valuation of imports: Free on board (FOB) Primary domestic currency: Mauritian rupee Data last updated: 09/2021</t>
  </si>
  <si>
    <t>Mexico</t>
  </si>
  <si>
    <t>Source: National Statistics Office Latest actual data: 2020 Base year: 1997 Methodology used to derive volumes: Deflation by survey-based price indexes Formula used to derive volumes: Other Chain-weighted: No Trade System: General trade Oil coverage: Primary or unrefined products; Secondary or refined products; Valuation of exports: Free on board (FOB) Valuation of imports: Free on board (FOB) Primary domestic currency: Mexican peso Data last updated: 09/2021</t>
  </si>
  <si>
    <t>Micronesia</t>
  </si>
  <si>
    <t>Moldova</t>
  </si>
  <si>
    <t>Source: National Statistics Office Latest actual data: 2019 Base year: 2005 Methodology used to derive volumes: Deflation by unit value indexes (from customs data) Formula used to derive volumes: Laspeyres-type Chain-weighted: No Trade System: General trade Valuation of exports: Free on board (FOB) Valuation of imports: Cost, insurance, freight (CIF) Primary domestic currency: Moldovan leu Data last updated: 08/2021</t>
  </si>
  <si>
    <t>Mongolia</t>
  </si>
  <si>
    <t>Source: Central Bank Latest actual data: 2020 Base year: 2010 Methodology used to derive volumes: Data are compiled from customer declaration. Formula used to derive volumes: Data are compiled from customer declaration. Chain-weighted: No. Data are compiled from customer declaration. Trade System: General trade Excluded items in trade: In transit; Other;. goods on temporary admission e.g. exports and imports related to trade fairs and exhibitions, goods on less than one year operational lease, goods on repair, gold shipped by BOM for refining, Oil coverage: Primary or unrefined products; Valuation of exports: Free on board (FOB) Valuation of imports: Cost, insurance, freight (CIF) Primary domestic currency: Mongolian tögrög Data last updated: 07/2021</t>
  </si>
  <si>
    <t>Montenegro</t>
  </si>
  <si>
    <t>Source: National Statistics Office Latest actual data: 2020 Base year: 2009 Methodology used to derive volumes: Deflation by unit value indexes (from customs data) Formula used to derive volumes: Laspeyres-type Chain-weighted: Yes, from 2008 Trade System: Special trade Valuation of exports: Free on board (FOB) Valuation of imports: Cost, insurance, freight (CIF) Primary domestic currency: Euro Data last updated: 09/2021</t>
  </si>
  <si>
    <t>Morocco</t>
  </si>
  <si>
    <t>Source: Office des changes Latest actual data: 2020 Base year: 1990 Methodology used to derive volumes: Deflation by unit value indexes (from customs data) Formula used to derive volumes: Other Chain-weighted: No Trade System: General trade Valuation of exports: Free on board (FOB) Valuation of imports: Cost, insurance, freight (CIF) Primary domestic currency: Moroccan dirham Data last updated: 09/2021</t>
  </si>
  <si>
    <t>Mozambique</t>
  </si>
  <si>
    <t>Source: Central Bank Latest actual data: 2019 Base year: 2005 Methodology used to derive volumes: Deflation by unit value indexes (from customs data) Formula used to derive volumes: Trade change (percent)=(Trade value(t)/Trade value(t-1))/(Trade price(t)/Trade price(t-1))-1 Chain-weighted: No Trade System: General trade Excluded items in trade: Other; Oil coverage: Other; Valuation of exports: Free on board (FOB) Valuation of imports: Cost, insurance, freight (CIF) Primary domestic currency: Mozambican metical Data last updated: 09/2021</t>
  </si>
  <si>
    <t>Myanmar</t>
  </si>
  <si>
    <t>Source: National Statistics Office Latest actual data: FY2019/20 Base year: FY2005/06 Methodology used to derive volumes: Other Formula used to derive volumes: Other Chain-weighted: No Trade System: General trade Excluded items in trade: Other; Oil coverage: Primary or unrefined products; Secondary or refined products; Valuation of exports: Free on board (FOB) Valuation of imports: Cost, insurance, freight (CIF) Primary domestic currency: Myanmar kyat Data last updated: 09/2021</t>
  </si>
  <si>
    <t>Namibia</t>
  </si>
  <si>
    <t>Source: Central Bank Latest actual data: 2020 Base year: 2006 Methodology used to derive volumes: Other Formula used to derive volumes: Other Chain-weighted: No Trade System: General trade Excluded items in trade: Other; Oil coverage: Other; Valuation of exports: Free on board (FOB) Valuation of imports: Cost, insurance, freight (CIF) Primary domestic currency: Namibian dollar Data last updated: 09/2021</t>
  </si>
  <si>
    <t>Nauru</t>
  </si>
  <si>
    <t>Nepal</t>
  </si>
  <si>
    <t>Netherlands</t>
  </si>
  <si>
    <t>Source: National Statistics Office Latest actual data: 2020 Base year: 2000 Methodology used to derive volumes: Deflation by unit value indexes (from customs data). Data from national sources Formula used to derive volumes: Not applicable. Data from national sources Chain-weighted: Yes, from 1980 Trade System: General trade Valuation of exports: Free on board (FOB) Valuation of imports: Cost, insurance, freight (CIF) Primary domestic currency: Euro Data last updated: 09/2021</t>
  </si>
  <si>
    <t>New Zealand</t>
  </si>
  <si>
    <t>Source: National Statistics Office. Statistics New Zealand Latest actual data: 2020 Base year: 2005. Source data are based on June 2002=1000. We rebase them 2005=100 Methodology used to derive volumes: Deflation by survey-based price indexes Formula used to derive volumes: Laspeyres-type Chain-weighted: Yes, from 1987 Trade System: General trade Valuation of exports: Free on board (FOB) Valuation of imports: Cost, insurance, freight (CIF) Primary domestic currency: New Zealand dollar Data last updated: 09/2021</t>
  </si>
  <si>
    <t>Nicaragua</t>
  </si>
  <si>
    <t>Source: Central Bank. National accounts, real GDP by expenditures Latest actual data: 2020 Base year: 2006 Methodology used to derive volumes: Deflation by unit value indexes (from customs data). Calculation of the constant price values of exports and imports is based on the volume, value, and unit value of a basket of goods, in which unit value indices are calculated according to the CNIC. Formula used to derive volumes: Other Chain-weighted: Yes, from 1994 Trade System: General trade Excluded items in trade: Other; Valuation of exports: Free on board (FOB) Valuation of imports: Cost, insurance, freight (CIF) Primary domestic currency: Nicaraguan córdoba Data last updated: 08/2021</t>
  </si>
  <si>
    <t>Niger</t>
  </si>
  <si>
    <t>Source: Central Bank Latest actual data: 2020 Base year: 2015 Methodology used to derive volumes: Not applicable Formula used to derive volumes: Not applicable Chain-weighted: No Trade System: General trade Valuation of exports: Free on board (FOB) Valuation of imports: Cost, insurance, freight (CIF) Primary domestic currency: CFA franc Data last updated: 09/2021</t>
  </si>
  <si>
    <t>Nigeria</t>
  </si>
  <si>
    <t>Source: Central Bank Latest actual data: 2020 Base year: 2000 Methodology used to derive volumes: Weighted average of volume changes Formula used to derive volumes: Laspeyres-type Chain-weighted: No Trade System: General trade Excluded items in trade: Re-exports; Other;. See https://customs.gov.ng/  Prohibition List for details. Oil coverage: Primary or unrefined products; Secondary or refined products; Valuation of exports: Free on board (FOB) Valuation of imports: Cost, insurance, freight (CIF) Primary domestic currency: Nigerian naira Data last updated: 09/2021</t>
  </si>
  <si>
    <t>North Macedonia</t>
  </si>
  <si>
    <t>Source: Central Bank Latest actual data: 2020 Base year: 2005 Methodology used to derive volumes: Other Formula used to derive volumes: Other Chain-weighted: No Trade System: General trade Valuation of exports: Free on board (FOB) Valuation of imports: Cost, insurance, freight (CIF) Primary domestic currency: Macedonian denar Data last updated: 09/2021</t>
  </si>
  <si>
    <t>Norway</t>
  </si>
  <si>
    <t>Source: Other Latest actual data: 2019 Base year: 2012 Methodology used to derive volumes: Deflation by survey-based price indexes Formula used to derive volumes: Laspeyres-type Chain-weighted: Yes, from before 1980 Trade System: General trade Oil coverage: Primary or unrefined products; Secondary or refined products; Valuation of exports: Free on board (FOB) Valuation of imports: Cost, insurance, freight (CIF) Primary domestic currency: Norwegian krone Data last updated: 09/2021</t>
  </si>
  <si>
    <t>Oman</t>
  </si>
  <si>
    <t>Source: Central Bank Latest actual data: 2020 Base year: 2016 Methodology used to derive volumes: Deflation by unit value indexes (from customs data) Formula used to derive volumes: Laspeyres-type Chain-weighted: No Trade System: Special trade Excluded items in trade: Other; Oil coverage: Secondary or refined products; Valuation of exports: Free on board (FOB) Valuation of imports: Cost, insurance, freight (CIF) Primary domestic currency: Omani rial Data last updated: 09/2021</t>
  </si>
  <si>
    <t>Pakistan</t>
  </si>
  <si>
    <t>Source: National Statistics Office. Federal Bureau of Statistics Latest actual data: FY2019/20 Base year: FY2005/06 Methodology used to derive volumes: Deflation by unit value indexes (from customs data) Formula used to derive volumes: Laspeyres-type Chain-weighted: No Trade System: General trade Excluded items in trade: In transit; Re-exports; Re-imports;. Data on re-exports and re-imports is compiled and published. Oil coverage: Primary or unrefined products; Secondary or refined products; Valuation of exports: Free on board (FOB) Valuation of imports: Cost, insurance, freight (CIF) Primary domestic currency: Pakistan rupee Data last updated: 09/2021</t>
  </si>
  <si>
    <t>Palau</t>
  </si>
  <si>
    <t>Source: Ministry of Finance or Treasury Latest actual data: FY2019/20 Base year: FY2014/15 Methodology used to derive volumes: Other Formula used to derive volumes: Other Chain-weighted: No Trade System: General trade Excluded items in trade: In transit; Oil coverage: Secondary or refined products; Valuation of exports: Other Valuation of imports: Other Primary domestic currency: US dollar Data last updated: 08/2021</t>
  </si>
  <si>
    <t>Panama</t>
  </si>
  <si>
    <t>Source: National Statistics Office Latest actual data: 2020 Base year: 1996 Methodology used to derive volumes: Deflation by unit value indexes (from customs data) Formula used to derive volumes: Laspeyres-type Chain-weighted: No Trade System: General trade Oil coverage: Secondary or refined products; Valuation of exports: Free on board (FOB) Valuation of imports: National Statistical Office reports that Imports are FOB, except for those of the Colon Free Zone (which are CIF) Primary domestic currency: US dollar Data last updated: 09/2021</t>
  </si>
  <si>
    <t>Papua New Guinea</t>
  </si>
  <si>
    <t>Source: Ministry of Finance or Treasury Latest actual data: 2019 Base year: 2005 Methodology used to derive volumes: Weighted average of volume changes Formula used to derive volumes: Laspeyres-type Chain-weighted: No Trade System: Other Oil coverage: Primary or unrefined products; Secondary or refined products;. Series spliced. Current working data starts in 1994. Oil imports data currently unavailable prior to 1994. Valuation of exports: Free on board (FOB) Valuation of imports: Cost, insurance, freight (CIF) Primary domestic currency: Papua New Guinea kina Data last updated: 09/2021</t>
  </si>
  <si>
    <t>Paraguay</t>
  </si>
  <si>
    <t>Source: Central Bank of Paraguay Latest actual data: 2019 Base year: 2010 Methodology used to derive volumes: Registered exports in ton Formula used to derive volumes: Sum of registered exports in ton Chain-weighted: No Trade System: General trade Excluded items in trade: Re-exports; Re-imports; Oil coverage: Secondary or refined products; Valuation of exports: Free on board (FOB) Valuation of imports: Cost, insurance, freight (CIF) Primary domestic currency: Paraguayan guaraní Data last updated: 09/2021</t>
  </si>
  <si>
    <t>Peru</t>
  </si>
  <si>
    <t>Source: Central Bank Latest actual data: 2020 Base year: 2005 Valuation of exports: Free on board (FOB) Valuation of imports: Free on board (FOB) Primary domestic currency: Peruvian sol Data last updated: 09/2021</t>
  </si>
  <si>
    <t>Philippines</t>
  </si>
  <si>
    <t>Source: National Statistics Office. Accessed via CEIC Latest actual data: 2020 Base year: 2005. Volume growth rate used as input Methodology used to derive volumes: By Source, CEIC Formula used to derive volumes: By Source, CEIC Chain-weighted: No Trade System: General trade Excluded items in trade: Other; Oil coverage: Primary or unrefined products; Secondary or refined products; Valuation of exports: Free on board (FOB) Valuation of imports: Cost, insurance, freight (CIF) Primary domestic currency: Philippine peso Data last updated: 09/2021</t>
  </si>
  <si>
    <t>Poland</t>
  </si>
  <si>
    <t>Source: Central Bank Latest actual data: 2020 Base year: 2005 Methodology used to derive volumes: Other Formula used to derive volumes: Other Chain-weighted: No Trade System: General trade Oil coverage: Other; Valuation of exports: Free on board (FOB) Valuation of imports: Cost, insurance, freight (CIF) Primary domestic currency: Polish zloty Data last updated: 09/2021</t>
  </si>
  <si>
    <t>Portugal</t>
  </si>
  <si>
    <t>Source: Central Bank Latest actual data: 2020 Base year: 2005 Methodology used to derive volumes: Deflation by survey-based price indexes Formula used to derive volumes: Laspeyres-type Chain-weighted: No Trade System: General trade Excluded items in trade: None Oil coverage: Secondary or refined products; Valuation of exports: Free on board (FOB) Valuation of imports: Cost, insurance, freight (CIF) Primary domestic currency: Euro Data last updated: 09/2021</t>
  </si>
  <si>
    <t>Puerto Rico</t>
  </si>
  <si>
    <t>Qatar</t>
  </si>
  <si>
    <t>Source: IMF Staff Estimates. IMF Staff Estimates. Qatar Petroleum/Qatar Central Bank. COMTRADE. Latest actual data: 2020 Base year: 2013 Methodology used to derive volumes: Other Formula used to derive volumes: Other Chain-weighted: No Trade System: General trade Oil coverage: Primary or unrefined products; Secondary or refined products; Valuation of exports: Other Valuation of imports: Other Primary domestic currency: Qatari riyal Data last updated: 09/2021</t>
  </si>
  <si>
    <t>Romania</t>
  </si>
  <si>
    <t>Source: National Statistics Office Latest actual data: 2020 Base year: 2005 Methodology used to derive volumes: Using Eurostat data for historical data on volumes Oil coverage: Mineral Fuels, Lubricants and Related Materials Valuation of exports: Free on board (FOB) Valuation of imports: Free on board (FOB) Primary domestic currency: Romanian leu Data last updated: 08/2021</t>
  </si>
  <si>
    <t>Russia</t>
  </si>
  <si>
    <t>Source: Central Bank Latest actual data: 2020 Base year: 2000 Methodology used to derive volumes: Deflation by survey-based price indexes Formula used to derive volumes: Other Chain-weighted: No Valuation of exports: Free on board (FOB) Valuation of imports: Free on board (FOB) Primary domestic currency: Russian ruble Data last updated: 09/2021</t>
  </si>
  <si>
    <t>Rwanda</t>
  </si>
  <si>
    <t>Source: Central Bank Latest actual data: 2019 Base year: 1992 Methodology used to derive volumes: Weighted average of volume changes Formula used to derive volumes: Laspeyres-type Chain-weighted: Yes, from 1992 Trade System: General trade Valuation of exports: Free on board (FOB) Valuation of imports: Cost, insurance, freight (CIF) Primary domestic currency: Rwandan franc Data last updated: 07/2021</t>
  </si>
  <si>
    <t>Samoa</t>
  </si>
  <si>
    <t>San Marino</t>
  </si>
  <si>
    <t>São Tomé and Príncipe</t>
  </si>
  <si>
    <t>Source: Central Bank Latest actual data: 2020 Base year: 2000 Methodology used to derive volumes: Deflation by unit value indexes (from customs data) Formula used to derive volumes: Other Chain-weighted: No Trade System: General trade Excluded items in trade: Low valued; Re-imports; Oil coverage: Primary or unrefined products; Valuation of exports: Free on board (FOB) Valuation of imports: Cost, insurance, freight (CIF) Primary domestic currency: São Tomé and Príncipe dobra Data last updated: 09/2021</t>
  </si>
  <si>
    <t>Saudi Arabia</t>
  </si>
  <si>
    <t>Source: Central Bank Latest actual data: 2020 Base year: 1999 Methodology used to derive volumes: Other Formula used to derive volumes: Other Chain-weighted: No Oil coverage: Primary or unrefined products; Secondary or refined products; Valuation of exports: Free on board (FOB) Valuation of imports: Other Primary domestic currency: Saudi riyal Data last updated: 09/2021</t>
  </si>
  <si>
    <t>Senegal</t>
  </si>
  <si>
    <t>Source: Central Bank and Staff estimates. Latest actual data: 2019 Base year: 2003 Methodology used to derive volumes: Deflation by unit value indexes (from customs data) Formula used to derive volumes: Laspeyres-type Chain-weighted: No Trade System: General trade Excluded items in trade: None Oil coverage: Primary or unrefined products; Secondary or refined products; Valuation of exports: Free on board (FOB) Valuation of imports: Cost, insurance, freight (CIF) Primary domestic currency: CFA franc Data last updated: 09/2021</t>
  </si>
  <si>
    <t>Serbia</t>
  </si>
  <si>
    <t>Source: National Statistics Office. Serbian Statistical Office Latest actual data: 2020 Base year: 2009 Methodology used to derive volumes: Deflation by unit value indexes (from customs data) Formula used to derive volumes: Fisher, Laspeyres and Paasche formulas are used. Chain-weighted: Yes, from 1989 Trade System: General trade Excluded items in trade: In transit; Other;. Besides transit, excluded are also the temporary commodity transactions (fairs, test samples, etc.). Valuation of exports: Free on board (FOB) Valuation of imports: Cost, insurance, freight (CIF) Primary domestic currency: Serbian dinar Data last updated: 09/2021</t>
  </si>
  <si>
    <t>Seychelles</t>
  </si>
  <si>
    <t>Source: Central Bank Latest actual data: 2020 Base year: 1990 Methodology used to derive volumes: Deflation by survey-based price indexes Formula used to derive volumes: Other Chain-weighted: No Trade System: Other Excluded items in trade: Other; Oil coverage: Secondary or refined products; Valuation of exports: Free on board (FOB) Valuation of imports: Cost, insurance, freight (CIF) Primary domestic currency: Seychelles rupee Data last updated: 08/2021</t>
  </si>
  <si>
    <t>Sierra Leone</t>
  </si>
  <si>
    <t>Source: Central Bank Latest actual data: 2018 Base year: 2005 Methodology used to derive volumes: Other Formula used to derive volumes: Other Chain-weighted: No Trade System: General trade Excluded items in trade: In transit; Oil coverage: Secondary or refined products; Valuation of exports: Free on board (FOB) Valuation of imports: Cost, insurance, freight (CIF) Primary domestic currency: Sierra Leonean leone Data last updated: 08/2021</t>
  </si>
  <si>
    <t>Singapore</t>
  </si>
  <si>
    <t>Source: Data is sourced from "Enterprise Singapore", a government agency that compiles Trade data. Data retrieved from CEIC. Latest actual data: 2020 Base year: 2005 Methodology used to derive volumes: Deflation by unit value indexes (from customs data) Formula used to derive volumes: Other Chain-weighted: No Trade System: General trade Oil coverage: Primary or unrefined products; Valuation of exports: Free on board (FOB) Valuation of imports: Cost, insurance, freight (CIF) Primary domestic currency: Singapore dollar Data last updated: 08/2021</t>
  </si>
  <si>
    <t>Slovak Republic</t>
  </si>
  <si>
    <t>Source: Central Bank. Haver Analytics Latest actual data: 2019 Base year: 2010 Methodology used to derive volumes: Other Formula used to derive volumes: Other Valuation of exports: Free on board (FOB) Valuation of imports: Free on board (FOB) Primary domestic currency: Euro Data last updated: 09/2021</t>
  </si>
  <si>
    <t>Slovenia</t>
  </si>
  <si>
    <t>Source: National Statistics Office. National Accounts Latest actual data: 2020 Base year: 2005 Methodology used to derive volumes: National Accounts Formula used to derive volumes: National Accounts Chain-weighted: Yes, from 2000 Trade System: Special trade. Scope of coverage: External trade transactions are covered (the 1982 edition of the IMTSCD is followed) according to the special trade system (relaxed definition) with processing (also processing in free zones) included. Only transactions for which a customs declaration has been issued are covered. In Intrastat the value of intra-community trade of companies above the exemption threshold is covered. Value of companies below the exemption threshold is estimated. No specific countries/territories exclusion. Excluded items in trade: Re-exports; Re-imports; Oil coverage: Primary or unrefined products; Valuation of exports: Free on board (FOB) Valuation of imports: Free on board (FOB). Cost, insurance, freight (CIF) Primary domestic currency: Euro Data last updated: 09/2021</t>
  </si>
  <si>
    <t>Solomon Islands</t>
  </si>
  <si>
    <t>Source: Central Bank Latest actual data: 2019 Base year: 2012 Methodology used to derive volumes: Other Formula used to derive volumes: Other Chain-weighted: No Trade System: General trade Excluded items in trade: cannot verify Valuation of exports: Free on board (FOB) Valuation of imports: Free on board (FOB) Primary domestic currency: Solomon Islands dollar Data last updated: 08/2021</t>
  </si>
  <si>
    <t>Somalia</t>
  </si>
  <si>
    <t>South Africa</t>
  </si>
  <si>
    <t>Source: Central Bank Latest actual data: 2020 Base year: 2010 Methodology used to derive volumes: Not applicable Formula used to derive volumes: Not applicable Chain-weighted: No Trade System: General trade Oil coverage: Primary or unrefined products; Valuation of exports: Free on board (FOB) Valuation of imports: Free on board (FOB) Primary domestic currency: South African rand Data last updated: 09/2021</t>
  </si>
  <si>
    <t>South Sudan</t>
  </si>
  <si>
    <t>Spain</t>
  </si>
  <si>
    <t>Source: Ministry of Finance or Treasury Latest actual data: 2020 Base year: 2010 Formula used to derive volumes: Laspeyres-type Chain-weighted: Yes, from 1995. Chain-weighted and converted to market prices Trade System: General trade Valuation of exports: Free on board (FOB) Valuation of imports: Cost, insurance, freight (CIF) Primary domestic currency: Euro Data last updated: 09/2021</t>
  </si>
  <si>
    <t>Sri Lanka</t>
  </si>
  <si>
    <t>Source: National Statistics Office. Department of Census and Statistics Latest actual data: 2019 Base year: 2005 Methodology used to derive volumes: Deflation by unit value indexes (from customs data) Formula used to derive volumes: Laspeyres-type Chain-weighted: No Trade System: General trade Valuation of exports: Free on board (FOB) Valuation of imports: Cost, insurance, freight (CIF) Primary domestic currency: Sri Lankan rupee Data last updated: 09/2021</t>
  </si>
  <si>
    <t>St. Kitts and Nevis</t>
  </si>
  <si>
    <t>Source: Central Bank Latest actual data: 2018 Notes: Historical values for expenditure based GDP components are not reported by authorities and are estimated by IMF staff using data from balance of payments and fiscal accounts. GDP expenditure component estimates prior 2014 have been removed due to internal inconsistencies arising from methodological changes to international trade estimates from the balance of payments applicable to data reported after 2014. Base year: Deflation by unit value indexes (from customs data) Oil coverage: Secondary or refined products; Valuation of exports: Free on board (FOB) Valuation of imports: Cost, insurance, freight (CIF) Primary domestic currency: Eastern Caribbean dollar Data last updated: 09/2021</t>
  </si>
  <si>
    <t>St. Lucia</t>
  </si>
  <si>
    <t>Source: Central Bank Latest actual data: 2019 Notes: On account of a methodological change to the compilation of balance of payments statistics, data for BOP series before 2014 have been removed. Methodology used to derive volumes: Deflation by unit value indexes (from customs data) Oil coverage: Secondary or refined products; Valuation of exports: Free on board (FOB) Valuation of imports: Cost, insurance, freight (CIF) Primary domestic currency: Eastern Caribbean dollar Data last updated: 09/2021</t>
  </si>
  <si>
    <t>St. Vincent and the Grenadines</t>
  </si>
  <si>
    <t>Source: Central Bank Latest actual data: 2019 Base year: 2002 Methodology used to derive volumes: Deflation by WEO price indexes. Chain-weighted: No Trade System: General trade Excluded items in trade: In transit; Oil coverage: Primary or unrefined products; Valuation of exports: Free on board (FOB) Valuation of imports: Free on board (FOB) Primary domestic currency: Eastern Caribbean dollar Data last updated: 09/2021</t>
  </si>
  <si>
    <t>Sudan</t>
  </si>
  <si>
    <t>Source: Central Bank Latest actual data: 2019 Base year: 2000 Methodology used to derive volumes: Deflation by unit value indexes (from customs data) Formula used to derive volumes: Other Trade System: General trade Oil coverage: Primary or unrefined products; Secondary or refined products; Valuation of exports: Free on board (FOB) Valuation of imports: Raw data is CIF, but for WEO purposes and macroframework, conversion to FOB. Primary domestic currency: Sudanese pound Data last updated: 08/2021</t>
  </si>
  <si>
    <t>Suriname</t>
  </si>
  <si>
    <t>Source: Central Bank Latest actual data: 2020 Base year: 2007 Methodology used to derive volumes: IMF staff estimates. WEO exports deflators. GAS price assumptions Formula used to derive volumes: Other Chain-weighted: No Trade System: General trade Oil coverage: Primary or unrefined products; Secondary or refined products; Valuation of exports: Free on board (FOB) Valuation of imports: Cost, insurance, freight (CIF) Primary domestic currency: Surinamese dollar Data last updated: 09/2021</t>
  </si>
  <si>
    <t>Sweden</t>
  </si>
  <si>
    <t>Source: Central Bank Latest actual data: 2020 Base year: 2020 Methodology used to derive volumes: Deflation by survey-based price indexes Formula used to derive volumes: Laspeyres-type Chain-weighted: Yes, from 1993 Trade System: General trade Excluded items in trade: In transit; Re-exports; Re-imports; Oil coverage: Primary or unrefined products; Secondary or refined products; Valuation of exports: Free on board (FOB) Valuation of imports: Free on board (FOB) Primary domestic currency: Swedish krona Data last updated: 08/2021</t>
  </si>
  <si>
    <t>Switzerland</t>
  </si>
  <si>
    <t>Source: Central Bank Latest actual data: 2020 Base year: 1997 Methodology used to derive volumes: Deflation by survey-based price indexes Formula used to derive volumes: Laspeyres-type Chain-weighted: Yes, from 1997 Trade System: Special trade Excluded items in trade: In transit; Oil coverage: Primary or unrefined products; Valuation of exports: Free on board (FOB) Valuation of imports: Cost, insurance, freight (CIF) Primary domestic currency: Swiss franc Data last updated: 09/2021</t>
  </si>
  <si>
    <t>Syria</t>
  </si>
  <si>
    <t>Source: Central Bank Latest actual data: 2009 Formula used to derive volumes: Other Chain-weighted: No Oil coverage: Primary or unrefined products; Secondary or refined products; Valuation of exports: Free on board (FOB) Valuation of imports: Cost, insurance, freight (CIF) Primary domestic currency: Syrian pound Data last updated: n/a</t>
  </si>
  <si>
    <t>Taiwan Province of China</t>
  </si>
  <si>
    <t>Source: Central Bank. Data retrieved from CEIC Latest actual data: 2020 Base year: 2006 Methodology used to derive volumes: Deflation by unit value indexes (from customs data) Formula used to derive volumes: Other Chain-weighted: No Trade System: General trade Excluded items in trade: In transit; Oil coverage: Primary or unrefined products; Secondary or refined products; Valuation of exports: Free on board (FOB) Valuation of imports: Free on board (FOB) Primary domestic currency: New Taiwan dollar Data last updated: 09/2021</t>
  </si>
  <si>
    <t>Tajikistan</t>
  </si>
  <si>
    <t>Source: Central Bank Latest actual data: 2019 Base year: 2005 Chain-weighted: No Valuation of exports: Free on board (FOB) Valuation of imports: Cost, insurance, freight (CIF) Primary domestic currency: Tajik somoni Data last updated: 09/2021</t>
  </si>
  <si>
    <t>Tanzania</t>
  </si>
  <si>
    <t>Source: Central Bank Latest actual data: 2020 Base year: 2002. The base year is FY 2002, so in CY2002, the deflator is not equal to 100. Methodology used to derive volumes: Deflation by survey-based price indexes Formula used to derive volumes: Laspeyres-type Chain-weighted: Yes, from 2002 Trade System: General trade Valuation of exports: Free on board (FOB) Valuation of imports: Cost, insurance, freight (CIF) Primary domestic currency: Tanzanian shilling Data last updated: 09/2021</t>
  </si>
  <si>
    <t>Thailand</t>
  </si>
  <si>
    <t>Source: Central Bank. Downloaded via CEIC Latest actual data: 2020 Base year: 2007 Methodology used to derive volumes: from GEE Formula used to derive volumes: Other Chain-weighted: No Trade System: General trade Excluded items in trade: Smuggled goods and products procured on carriers at sea. Oil coverage: Primary or unrefined products; Secondary or refined products; Other; Valuation of exports: Free on board (FOB) Valuation of imports: Free on board (FOB) Primary domestic currency: Thai baht Data last updated: 08/2021</t>
  </si>
  <si>
    <t>Timor-Leste</t>
  </si>
  <si>
    <t>Togo</t>
  </si>
  <si>
    <t>Source: Central Bank Latest actual data: 2018 Base year: 2014 Methodology used to derive volumes: Other Formula used to derive volumes: Other Chain-weighted: No Trade System: General trade Valuation of exports: Free on board (FOB) Valuation of imports: Cost, insurance, freight (CIF) Primary domestic currency: CFA franc Data last updated: 08/2021</t>
  </si>
  <si>
    <t>Tonga</t>
  </si>
  <si>
    <t>Source: Central Bank. plus Statistics Department of Tonga Latest actual data: FY2019/20 Notes: Prior to 1999, the data are in fiscal year (FY) reporting basis converted to calendar year by averaging two FYs (e.g. 1990 is the average of 1989/90 and 1990/91), and are further adjusted to produce a smooth series with the use of a splicing technique. These estimates continue to serve as proxies for historical series when complete information is unavailable. Base year: FY2016/17 Methodology used to derive volumes: Other Formula used to derive volumes: Other Chain-weighted: No Trade System: General trade Excluded items in trade: Low valued; Other;. Joint venture fishing with foreign and local ownership carried out in the Tonga economic zone. Valuation of exports: Free on board (FOB) Valuation of imports: Cost, insurance, freight (CIF) Primary domestic currency: Tongan pa'anga Data last updated: 08/2021</t>
  </si>
  <si>
    <t>Trinidad and Tobago</t>
  </si>
  <si>
    <t>Source: Central Bank Latest actual data: 2020 Base year: 2005 Methodology used to derive volumes: Deflation by unit value indexes (from customs data) Trade System: General trade Oil coverage: Primary or unrefined products; Secondary or refined products; Valuation of exports: Free on board (FOB) Valuation of imports: Free on board (FOB) Primary domestic currency: Trinidad and Tobago dollar Data last updated: 09/2021</t>
  </si>
  <si>
    <t>Tunisia</t>
  </si>
  <si>
    <t>Source: Central Bank Latest actual data: 2020 Base year: 2015 Methodology used to derive volumes: Deflation by unit value indexes (from customs data) Formula used to derive volumes: Other Chain-weighted: No Trade System: General trade Excluded items in trade: Other; Oil coverage: Other; Valuation of exports: Free on board (FOB) Valuation of imports: Cost, insurance, freight (CIF) Primary domestic currency: Tunisian dinar Data last updated: 07/2021</t>
  </si>
  <si>
    <t>Turkey</t>
  </si>
  <si>
    <t>Source: Central Bank. Formally, the Central Bank of the Republic of Turkey Latest actual data: 2020 Notes: Oil trade includes other energy trade such as fuel. Base year: 2005 Methodology used to derive volumes: Deflation by unit value indexes (from customs data) Formula used to derive volumes: Fisher. Trade volumes are the ratio of the value index to the Fisher unit value index (chain-weighted). The value indices are obtained as the ratio of current values to the arithmetic average of the base year values. Foreign trade indices have been calculated by Eurostat and U.N. concepts and methods. Chain-weighted: Yes, from 2003. Unit value indices are chain-weighted, but volume indices are not. Trade System: Special trade. Relaxed definition. Foreign trade statistics include goods which enter/leave the statistical territory of Turkey from/to other countries and are placed under the customs normal export and import procedures and under customs inward and outward processing procedures. Excluded items in trade: In transit; Low valued; Other;. Excluded items include goods valued under $100, transit trade, temporary export/import trade, repair and maintenance of goods, operational leasing, shuttle trade, border trade, some transactions with declaration that are not goods (cash, valuable paper, stamps, monetary gold, etc.). Other exclusions include border and coastal trade. Customs warehouses, free zones, and duty-free shops in Turkey are considered beyond the customs frontier. Note that while Turkstat and the Central Bank of Turkey make estimates on shuttle trade for BOP data, these are not included in the foreign trade statistics disseminated by Turkstat. Oil coverage: Primary or unrefined products; Secondary or refined products; Other;. All items covered. Valuation of exports: Free on board (FOB) Valuation of imports: Cost, insurance, freight (CIF) Primary domestic currency: Turkish lira Data last updated: 09/2021</t>
  </si>
  <si>
    <t>Turkmenistan</t>
  </si>
  <si>
    <t>Source: National Statistics Office Latest actual data: 2020 Base year: 1997 Chain-weighted: No Oil coverage: Primary or unrefined products; Valuation of exports: Free on board (FOB) Valuation of imports: Cost, insurance, freight (CIF) Primary domestic currency: New Turkmen manat Data last updated: 08/2021</t>
  </si>
  <si>
    <t>Tuvalu</t>
  </si>
  <si>
    <t>Uganda</t>
  </si>
  <si>
    <t>Source: Central Bank Latest actual data: 2020 Base year: 2000 Methodology used to derive volumes: Deflation by survey-based price indexes. Trade prices are derived from WEO Formula used to derive volumes: Other Chain-weighted: Yes, from 2000 Trade System: General trade Oil coverage: Secondary or refined products; Valuation of exports: Free on board (FOB) Valuation of imports: Cost, insurance, freight (CIF) Primary domestic currency: Ugandan shilling Data last updated: 09/2021</t>
  </si>
  <si>
    <t>Ukraine</t>
  </si>
  <si>
    <t>Source: IMF Staff Estimates. Calculated based on data from the National Bank of Ukraine and the State Statistics Committee. Starting in 2014Q2, data excludes Crimea and Sevastopol. Latest actual data: 2020 Base year: 2005 Methodology used to derive volumes: Weighted average of volume changes Formula used to derive volumes: Other Chain-weighted: No Trade System: Other Excluded items in trade: In transit;. Data comes from authorities. No adjustment made by staff. Oil coverage: Primary or unrefined products; Secondary or refined products; Valuation of exports: Free on board (FOB) Valuation of imports: Free on board (FOB) Primary domestic currency: Ukrainian hryvnia Data last updated: 09/2021</t>
  </si>
  <si>
    <t>United Arab Emirates</t>
  </si>
  <si>
    <t>Source: Central Bank Latest actual data: 2020 Base year: 2005 Methodology used to derive volumes: Deflation by survey-based price indexes Formula used to derive volumes: Laspeyres-type Chain-weighted: No Trade System: General trade Excluded items in trade: Other; Oil coverage: Primary or unrefined products; Secondary or refined products; Valuation of exports: Free on board (FOB) Valuation of imports: Cost, insurance, freight (CIF) Primary domestic currency: U.A.E. dirham Data last updated: 09/2021</t>
  </si>
  <si>
    <t>United Kingdom</t>
  </si>
  <si>
    <t>Source: National Statistics Office Latest actual data: 2020 Base year: 2006 Methodology used to derive volumes: Deflation by survey-based price indexes Formula used to derive volumes: Laspeyres-type Chain-weighted: Yes, from 1980 Trade System: General trade Excluded items in trade: N/A Valuation of exports: Free on board (FOB) Valuation of imports: Cost, insurance, freight (CIF) Primary domestic currency: British pound Data last updated: 09/2021</t>
  </si>
  <si>
    <t>United States</t>
  </si>
  <si>
    <t>Source: National Statistics Office Latest actual data: 2020 Base year: 2012 Methodology used to derive volumes: Trade volumes are taken from corresponding components of the national income and product accounts. Formula used to derive volumes: Fisher Chain-weighted: Yes, from 1980 Trade System: General trade Excluded items in trade: Excluded items include: US trade with US possessions; merchandise shipped in transit through the US from one foreign country to another; other items mainly related to government activities (shipments of furniture, equipment, supplies to US government agencies); monetary gold and silver; issued monetary coins of all component metals; shipments to US Armed Forces for their own use; bunker fuels and other supplies/equipment for use of departing vessels, planes; imports of articles repaired under warranty. For more detail see https://www.census.gov/foreign-trade/guide/sec2.html Oil coverage: Primary or unrefined products; Secondary or refined products; Other;. Oil imports is petroleum and product imports and oil exports is petroleum and product exports as published in the national income and product accounts Valuation of exports: Other Valuation of imports: Other Primary domestic currency: US dollar Data last updated: 09/2021</t>
  </si>
  <si>
    <t>Uruguay</t>
  </si>
  <si>
    <t>Source: Central Bank Latest actual data: 2020 Base year: 2012 Methodology used to derive volumes: Deflation by survey-based price indexes Formula used to derive volumes: Laspeyres-type Chain-weighted: No Trade System: General trade Valuation of exports: Free on board (FOB) Valuation of imports: Cost, insurance, freight (CIF) Primary domestic currency: Uruguayan peso Data last updated: 09/2021</t>
  </si>
  <si>
    <t>Uzbekistan</t>
  </si>
  <si>
    <t>Source: National Statistics Office Latest actual data: 2020 Base year: 2005 Methodology used to derive volumes: Not applicable Formula used to derive volumes: Not applicable Chain-weighted: No Trade System: General trade Oil coverage: Primary or unrefined products; Valuation of exports: Free on board (FOB) Valuation of imports: Cost, insurance, freight (CIF) Primary domestic currency: Uzbek som Data last updated: 09/2021</t>
  </si>
  <si>
    <t>Vanuatu</t>
  </si>
  <si>
    <t>Venezuela</t>
  </si>
  <si>
    <t>Source: Central Bank Latest actual data: 2017 Base year: 1997 Methodology used to derive volumes: Deflation by survey-based price indexes Chain-weighted: No Trade System: Other Oil coverage: Primary or unrefined products; Valuation of exports: Other Valuation of imports: Other Primary domestic currency: Venezuelan bolívar soberano Data last updated: 08/2021</t>
  </si>
  <si>
    <t>Vietnam</t>
  </si>
  <si>
    <t>Source: National Statistics Office Latest actual data: 2020 Base year: 2005 Methodology used to derive volumes: Deflation by unit value indexes (from customs data) Formula used to derive volumes: Laspeyres-type Chain-weighted: No Trade System: General trade Excluded items in trade: Other; Oil coverage: Primary or unrefined products; Secondary or refined products; Valuation of exports: Free on board (FOB) Valuation of imports: Cost, insurance, freight (CIF) Primary domestic currency: Vietnamese dong Data last updated: 09/2021</t>
  </si>
  <si>
    <t>West Bank and Gaza</t>
  </si>
  <si>
    <t>Source: National Statistics Office Latest actual data: 2020 Base year: 2015 Methodology used to derive volumes: Other Formula used to derive volumes: Other Trade System: Special trade Excluded items in trade: Other; Oil coverage: Other; Valuation of exports: Other Valuation of imports: Other Primary domestic currency: Israeli new shekel Data last updated: 08/2021</t>
  </si>
  <si>
    <t>Yemen</t>
  </si>
  <si>
    <t>Source: IMF Staff Estimates. We complement the authorities' trade data with publicly available information from other sources, in particular the UN (UNVIM, COMTRADE). Latest actual data: 2020 Base year: 2005 Valuation of exports: Free on board (FOB) Valuation of imports: Cost, insurance, freight (CIF) Primary domestic currency: Yemeni rial Data last updated: 08/2021</t>
  </si>
  <si>
    <t>Zambia</t>
  </si>
  <si>
    <t>Source: Central Bank. Values from BOP, volumes and prices are staff estimates. Latest actual data: 2019 Base year: 2005 Methodology used to derive volumes: Staff estimates. Deflated by WEO prices. Formula used to derive volumes: Other Chain-weighted: No Valuation of exports: Free on board (FOB) Valuation of imports: Free on board (FOB) Primary domestic currency: Zambian kwacha Data last updated: 08/2021</t>
  </si>
  <si>
    <t>Zimbabwe</t>
  </si>
  <si>
    <t>Source: Other Latest actual data: 2019 Excluded items in trade: In transit; Re-exports; Re-imports Primary domestic currency: Zimbabwe dollar Data last updated: 09/2021</t>
  </si>
  <si>
    <t>International Monetary Fund, World Economic Outlook Database, October 2021</t>
  </si>
  <si>
    <t>Exports, FOB to Partner Countries</t>
  </si>
  <si>
    <t>1990</t>
  </si>
  <si>
    <t>2000</t>
  </si>
  <si>
    <t>2010</t>
  </si>
  <si>
    <t>2020</t>
  </si>
  <si>
    <t>World</t>
  </si>
  <si>
    <t>Advanced Economies</t>
  </si>
  <si>
    <t>Euro Area</t>
  </si>
  <si>
    <t>Belgium-Luxembourg</t>
  </si>
  <si>
    <t>Estonia, Rep. of</t>
  </si>
  <si>
    <t>Netherlands, The</t>
  </si>
  <si>
    <t>Slovak Rep.</t>
  </si>
  <si>
    <t>Slovenia, Rep. of</t>
  </si>
  <si>
    <t>China, P.R.: Hong Kong</t>
  </si>
  <si>
    <t>China, P.R.: Macao</t>
  </si>
  <si>
    <t>Czech Rep.</t>
  </si>
  <si>
    <t>Korea, Rep. of</t>
  </si>
  <si>
    <t>San Marino, Rep. of</t>
  </si>
  <si>
    <t>Holy See</t>
  </si>
  <si>
    <t>Emerging and Developing Economies</t>
  </si>
  <si>
    <t>Emerging and Developing Asia</t>
  </si>
  <si>
    <t>American Samoa</t>
  </si>
  <si>
    <t>China, P.R.: Mainland</t>
  </si>
  <si>
    <t>Fiji, Rep. of</t>
  </si>
  <si>
    <t>French Polynesia</t>
  </si>
  <si>
    <t>Guam</t>
  </si>
  <si>
    <t>Lao People's Dem. Rep.</t>
  </si>
  <si>
    <t>Marshall Islands, Rep. of the</t>
  </si>
  <si>
    <t>Micronesia, Federated States of</t>
  </si>
  <si>
    <t>Nauru, Rep. of</t>
  </si>
  <si>
    <t>New Caledonia</t>
  </si>
  <si>
    <t>Palau, Rep. of</t>
  </si>
  <si>
    <t>Timor-Leste, Dem. Rep. of</t>
  </si>
  <si>
    <t>Asia not specified</t>
  </si>
  <si>
    <t>Emerging and Developing Europe</t>
  </si>
  <si>
    <t>Belarus, Rep. of</t>
  </si>
  <si>
    <t>Croatia, Rep. of</t>
  </si>
  <si>
    <t>Czechoslovakia</t>
  </si>
  <si>
    <t>Faroe Islands</t>
  </si>
  <si>
    <t>Gibraltar</t>
  </si>
  <si>
    <t>Kosovo, Rep. of</t>
  </si>
  <si>
    <t>Moldova, Rep. of</t>
  </si>
  <si>
    <t>North Macedonia, Republic of</t>
  </si>
  <si>
    <t>Poland, Rep. of</t>
  </si>
  <si>
    <t>Russian Federation</t>
  </si>
  <si>
    <t>Serbia, Rep. of</t>
  </si>
  <si>
    <t>Serbia and Montenegro</t>
  </si>
  <si>
    <t>Yugoslavia</t>
  </si>
  <si>
    <t>USSR</t>
  </si>
  <si>
    <t>Europe not specified</t>
  </si>
  <si>
    <t>Middle East and Central Asia</t>
  </si>
  <si>
    <t>Afghanistan, Islamic Rep. of</t>
  </si>
  <si>
    <t>Armenia, Rep. of</t>
  </si>
  <si>
    <t>Azerbaijan, Rep. of</t>
  </si>
  <si>
    <t>Bahrain, Kingdom of</t>
  </si>
  <si>
    <t>Egypt, Arab Rep. of</t>
  </si>
  <si>
    <t>Iran, Islamic Rep. of</t>
  </si>
  <si>
    <t>Kazakhstan, Rep. of</t>
  </si>
  <si>
    <t>Kyrgyz Rep.</t>
  </si>
  <si>
    <t>Mauritania, Islamic Rep. of</t>
  </si>
  <si>
    <t>Syrian Arab Rep.</t>
  </si>
  <si>
    <t>Tajikistan, Rep. of</t>
  </si>
  <si>
    <t>Uzbekistan, Rep. of</t>
  </si>
  <si>
    <t>Yemen, Rep. of</t>
  </si>
  <si>
    <t>Middle East and Central Asia not specified</t>
  </si>
  <si>
    <t>Sub-Saharan Africa</t>
  </si>
  <si>
    <t>Central African Rep.</t>
  </si>
  <si>
    <t>Comoros, Union of the</t>
  </si>
  <si>
    <t>Congo, Dem. Rep. of the</t>
  </si>
  <si>
    <t>Congo, Rep. of</t>
  </si>
  <si>
    <t>Equatorial Guinea, Rep. of</t>
  </si>
  <si>
    <t>Eritrea, The State of</t>
  </si>
  <si>
    <t>Eswatini, Kingdom of</t>
  </si>
  <si>
    <t>Ethiopia, The Federal Dem. Rep. of</t>
  </si>
  <si>
    <t>Gambia, The</t>
  </si>
  <si>
    <t>Lesotho, Kingdom of</t>
  </si>
  <si>
    <t>Madagascar, Rep. of</t>
  </si>
  <si>
    <t>Mozambique, Rep. of</t>
  </si>
  <si>
    <t>São Tomé and Príncipe, Dem. Rep. of</t>
  </si>
  <si>
    <t>South Sudan, Rep. of</t>
  </si>
  <si>
    <t>Tanzania, United Rep. of</t>
  </si>
  <si>
    <t>Africa not specified</t>
  </si>
  <si>
    <t>Western Hemisphere</t>
  </si>
  <si>
    <t>Anguilla</t>
  </si>
  <si>
    <t>Aruba, Kingdom of the Netherlands</t>
  </si>
  <si>
    <t>Bahamas, The</t>
  </si>
  <si>
    <t>Bermuda</t>
  </si>
  <si>
    <t>Curaçao, Kingdom of the Netherlands</t>
  </si>
  <si>
    <t>Dominican Rep.</t>
  </si>
  <si>
    <t>Falkland Islands (Malvinas)</t>
  </si>
  <si>
    <t>Greenland</t>
  </si>
  <si>
    <t>Montserrat</t>
  </si>
  <si>
    <t>Netherlands Antilles</t>
  </si>
  <si>
    <t>Sint Maarten, Kingdom of the Netherlands</t>
  </si>
  <si>
    <t>Venezuela, Rep. Bolivariana de</t>
  </si>
  <si>
    <t>Western Hemisphere not specified</t>
  </si>
  <si>
    <t>Other Countries not included elsewhere</t>
  </si>
  <si>
    <t>Cuba</t>
  </si>
  <si>
    <t>Korea, Dem. People's Rep. of</t>
  </si>
  <si>
    <t>Special Categories</t>
  </si>
  <si>
    <t>Countries &amp; Areas not specified</t>
  </si>
  <si>
    <t>Memorandum Items</t>
  </si>
  <si>
    <t>Africa</t>
  </si>
  <si>
    <t>Middle East</t>
  </si>
  <si>
    <t>European Union</t>
  </si>
  <si>
    <t>Emerging Market and Developing Economies by Source of Export Earnings: Fuel</t>
  </si>
  <si>
    <t>Emerging Market and Developing Economies by Source of Export Earnings: Nonfuel</t>
  </si>
  <si>
    <t>Total Volume</t>
  </si>
  <si>
    <t>Percentage Change</t>
  </si>
  <si>
    <t>Total Value Projection</t>
  </si>
  <si>
    <t>US Dollars, Millions</t>
  </si>
  <si>
    <t>Hong Kong</t>
  </si>
  <si>
    <t>Macao</t>
  </si>
  <si>
    <t>Iran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</si>
</sst>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8"/>
      <name val="Arial"/>
      <family val="2"/>
    </font>
    <font>
      <b/>
      <sz val="12"/>
      <name val="Arial"/>
      <family val="2"/>
    </font>
    <font>
      <sz val="12"/>
      <name val="Arial"/>
      <family val="2"/>
    </font>
    <font>
      <b/>
      <sz val="8"/>
      <name val="Arial"/>
      <family val="2"/>
    </font>
  </fonts>
  <fills count="4">
    <fill>
      <patternFill patternType="none"/>
    </fill>
    <fill>
      <patternFill patternType="gray125"/>
    </fill>
    <fill>
      <patternFill patternType="solid">
        <fgColor rgb="FFE6E9F5"/>
      </patternFill>
    </fill>
    <fill>
      <patternFill patternType="solid">
        <fgColor rgb="FFEEEEEE"/>
      </patternFill>
    </fill>
  </fills>
  <borders count="8">
    <border>
      <left/>
      <right/>
      <top/>
      <bottom/>
      <diagonal/>
    </border>
    <border>
      <left/>
      <right style="thin">
        <color rgb="FFBBBBBB"/>
      </right>
      <top/>
      <bottom style="thin">
        <color rgb="FFBBBBBB"/>
      </bottom>
      <diagonal/>
    </border>
    <border>
      <left style="thin">
        <color rgb="FFBBBBBB"/>
      </left>
      <right style="thin">
        <color rgb="FFFFFFFF"/>
      </right>
      <top/>
      <bottom style="thin">
        <color rgb="FFBBBBBB"/>
      </bottom>
      <diagonal/>
    </border>
    <border>
      <left style="thin">
        <color rgb="FFFFFFFF"/>
      </left>
      <right style="thin">
        <color rgb="FFFFFFFF"/>
      </right>
      <top/>
      <bottom style="thin">
        <color rgb="FFBBBBBB"/>
      </bottom>
      <diagonal/>
    </border>
    <border>
      <left style="thin">
        <color rgb="FFFFFFFF"/>
      </left>
      <right/>
      <top/>
      <bottom style="thin">
        <color rgb="FFBBBBBB"/>
      </bottom>
      <diagonal/>
    </border>
    <border>
      <left/>
      <right style="thin">
        <color rgb="FFBBBBBB"/>
      </right>
      <top style="thin">
        <color rgb="FFBBBBBB"/>
      </top>
      <bottom style="thin">
        <color rgb="FFFFFFFF"/>
      </bottom>
      <diagonal/>
    </border>
    <border>
      <left/>
      <right style="thin">
        <color rgb="FFBBBBBB"/>
      </right>
      <top style="thin">
        <color rgb="FFFFFFFF"/>
      </top>
      <bottom style="thin">
        <color rgb="FFFFFFFF"/>
      </bottom>
      <diagonal/>
    </border>
    <border>
      <left/>
      <right style="thin">
        <color rgb="FFBBBBBB"/>
      </right>
      <top style="thin">
        <color rgb="FFFFFFFF"/>
      </top>
      <bottom/>
      <diagonal/>
    </border>
  </borders>
  <cellStyleXfs count="2">
    <xf numFmtId="0" fontId="0" fillId="0" borderId="0"/>
    <xf numFmtId="0" fontId="1" fillId="0" borderId="0"/>
  </cellStyleXfs>
  <cellXfs count="27">
    <xf numFmtId="0" fontId="0" fillId="0" borderId="0" xfId="0"/>
    <xf numFmtId="0" fontId="2" fillId="2" borderId="1" xfId="1" applyFont="1" applyFill="1" applyBorder="1" applyAlignment="1" applyProtection="1">
      <alignment horizontal="center" vertical="center" wrapText="1"/>
      <protection locked="0"/>
    </xf>
    <xf numFmtId="0" fontId="2" fillId="3" borderId="5" xfId="1" applyFont="1" applyFill="1" applyBorder="1" applyAlignment="1" applyProtection="1">
      <alignment horizontal="left" vertical="top" wrapText="1"/>
      <protection locked="0"/>
    </xf>
    <xf numFmtId="4" fontId="2" fillId="0" borderId="0" xfId="1" applyNumberFormat="1" applyFont="1" applyBorder="1" applyAlignment="1" applyProtection="1">
      <alignment horizontal="right" vertical="top" wrapText="1"/>
      <protection locked="0"/>
    </xf>
    <xf numFmtId="0" fontId="2" fillId="3" borderId="6" xfId="1" applyFont="1" applyFill="1" applyBorder="1" applyAlignment="1" applyProtection="1">
      <alignment horizontal="left" vertical="top" wrapText="1"/>
      <protection locked="0"/>
    </xf>
    <xf numFmtId="4" fontId="2" fillId="3" borderId="0" xfId="1" applyNumberFormat="1" applyFont="1" applyFill="1" applyBorder="1" applyAlignment="1" applyProtection="1">
      <alignment horizontal="right" vertical="top" wrapText="1"/>
      <protection locked="0"/>
    </xf>
    <xf numFmtId="0" fontId="2" fillId="3" borderId="6" xfId="1" applyFont="1" applyFill="1" applyBorder="1" applyAlignment="1" applyProtection="1">
      <alignment horizontal="left" vertical="top" wrapText="1" indent="1"/>
      <protection locked="0"/>
    </xf>
    <xf numFmtId="0" fontId="2" fillId="3" borderId="6" xfId="1" applyFont="1" applyFill="1" applyBorder="1" applyAlignment="1" applyProtection="1">
      <alignment horizontal="left" vertical="top" wrapText="1" indent="2"/>
      <protection locked="0"/>
    </xf>
    <xf numFmtId="0" fontId="2" fillId="3" borderId="6" xfId="1" applyFont="1" applyFill="1" applyBorder="1" applyAlignment="1" applyProtection="1">
      <alignment horizontal="left" vertical="top" wrapText="1" indent="3"/>
      <protection locked="0"/>
    </xf>
    <xf numFmtId="0" fontId="2" fillId="3" borderId="7" xfId="1" applyFont="1" applyFill="1" applyBorder="1" applyAlignment="1" applyProtection="1">
      <alignment horizontal="left" vertical="top" wrapText="1" indent="1"/>
      <protection locked="0"/>
    </xf>
    <xf numFmtId="0" fontId="5" fillId="2" borderId="4" xfId="0" applyFont="1" applyFill="1" applyBorder="1" applyAlignment="1" applyProtection="1">
      <alignment horizontal="center" vertical="top" wrapText="1"/>
      <protection locked="0"/>
    </xf>
    <xf numFmtId="4" fontId="0" fillId="0" borderId="0" xfId="0" applyNumberFormat="1"/>
    <xf numFmtId="0" fontId="2" fillId="3" borderId="5" xfId="0" applyFont="1" applyFill="1" applyBorder="1" applyAlignment="1" applyProtection="1">
      <alignment horizontal="left" vertical="top" wrapText="1"/>
      <protection locked="0"/>
    </xf>
    <xf numFmtId="0" fontId="2" fillId="3" borderId="6" xfId="0" applyFont="1" applyFill="1" applyBorder="1" applyAlignment="1" applyProtection="1">
      <alignment horizontal="left" vertical="top" wrapText="1" indent="3"/>
      <protection locked="0"/>
    </xf>
    <xf numFmtId="0" fontId="2" fillId="3" borderId="6" xfId="0" applyFont="1" applyFill="1" applyBorder="1" applyAlignment="1" applyProtection="1">
      <alignment horizontal="left" vertical="top" wrapText="1" indent="2"/>
      <protection locked="0"/>
    </xf>
    <xf numFmtId="0" fontId="2" fillId="3" borderId="6" xfId="0" applyFont="1" applyFill="1" applyBorder="1" applyAlignment="1" applyProtection="1">
      <alignment horizontal="left" vertical="top" wrapText="1" indent="1"/>
      <protection locked="0"/>
    </xf>
    <xf numFmtId="0" fontId="2" fillId="3" borderId="6" xfId="0" applyFont="1" applyFill="1" applyBorder="1" applyAlignment="1" applyProtection="1">
      <alignment horizontal="left" vertical="top" wrapText="1"/>
      <protection locked="0"/>
    </xf>
    <xf numFmtId="0" fontId="0" fillId="0" borderId="0" xfId="0" applyProtection="1">
      <protection locked="0"/>
    </xf>
    <xf numFmtId="0" fontId="2" fillId="0" borderId="0" xfId="0" applyFont="1" applyAlignment="1" applyProtection="1">
      <alignment vertical="top"/>
      <protection locked="0"/>
    </xf>
    <xf numFmtId="0" fontId="2" fillId="2" borderId="1" xfId="0" applyFont="1" applyFill="1" applyBorder="1" applyAlignment="1" applyProtection="1">
      <alignment horizontal="center" vertical="center" wrapText="1"/>
      <protection locked="0"/>
    </xf>
    <xf numFmtId="0" fontId="5" fillId="2" borderId="2" xfId="0" applyFont="1" applyFill="1" applyBorder="1" applyAlignment="1" applyProtection="1">
      <alignment horizontal="center" vertical="top" wrapText="1"/>
      <protection locked="0"/>
    </xf>
    <xf numFmtId="0" fontId="5" fillId="2" borderId="3" xfId="0" applyFont="1" applyFill="1" applyBorder="1" applyAlignment="1" applyProtection="1">
      <alignment horizontal="center" vertical="top" wrapText="1"/>
      <protection locked="0"/>
    </xf>
    <xf numFmtId="4" fontId="2" fillId="0" borderId="0" xfId="0" applyNumberFormat="1" applyFont="1" applyAlignment="1" applyProtection="1">
      <alignment horizontal="right" vertical="top" wrapText="1"/>
      <protection locked="0"/>
    </xf>
    <xf numFmtId="4" fontId="2" fillId="3" borderId="0" xfId="0" applyNumberFormat="1" applyFont="1" applyFill="1" applyAlignment="1" applyProtection="1">
      <alignment horizontal="right" vertical="top" wrapText="1"/>
      <protection locked="0"/>
    </xf>
    <xf numFmtId="0" fontId="2" fillId="3" borderId="7" xfId="0" applyFont="1" applyFill="1" applyBorder="1" applyAlignment="1" applyProtection="1">
      <alignment horizontal="left" vertical="top" wrapText="1" indent="1"/>
      <protection locked="0"/>
    </xf>
    <xf numFmtId="0" fontId="4" fillId="0" borderId="0" xfId="0" applyFont="1" applyAlignment="1" applyProtection="1">
      <alignment horizontal="left" vertical="top"/>
      <protection locked="0"/>
    </xf>
    <xf numFmtId="0" fontId="3" fillId="0" borderId="0" xfId="0" applyFont="1" applyAlignment="1" applyProtection="1">
      <alignment vertical="top"/>
      <protection locked="0"/>
    </xf>
  </cellXfs>
  <cellStyles count="2">
    <cellStyle name="Normal" xfId="0" builtinId="0"/>
    <cellStyle name="Normal 2" xfId="1" xr:uid="{AB5AE0D2-90EC-49B3-AD46-3183178E31E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P244"/>
  <sheetViews>
    <sheetView tabSelected="1" workbookViewId="0">
      <selection activeCell="S9" sqref="S9"/>
    </sheetView>
  </sheetViews>
  <sheetFormatPr defaultRowHeight="15" x14ac:dyDescent="0.25"/>
  <cols>
    <col min="11" max="11" width="12" customWidth="1"/>
    <col min="12" max="12" width="11.140625" customWidth="1"/>
    <col min="13" max="13" width="12.140625" customWidth="1"/>
    <col min="14" max="14" width="11.7109375" customWidth="1"/>
    <col min="15" max="15" width="12.42578125" customWidth="1"/>
    <col min="16" max="16" width="14.5703125" customWidth="1"/>
  </cols>
  <sheetData>
    <row r="3" spans="2:16" x14ac:dyDescent="0.25">
      <c r="C3" t="s">
        <v>491</v>
      </c>
      <c r="D3" t="s">
        <v>492</v>
      </c>
      <c r="K3" t="s">
        <v>493</v>
      </c>
    </row>
    <row r="4" spans="2:16" x14ac:dyDescent="0.25">
      <c r="B4" s="1"/>
      <c r="C4" s="10" t="s">
        <v>388</v>
      </c>
      <c r="D4">
        <v>2021</v>
      </c>
      <c r="E4">
        <v>2022</v>
      </c>
      <c r="F4">
        <v>2023</v>
      </c>
      <c r="G4">
        <v>2024</v>
      </c>
      <c r="H4">
        <v>2025</v>
      </c>
      <c r="I4">
        <v>2026</v>
      </c>
      <c r="K4">
        <v>2021</v>
      </c>
      <c r="L4">
        <v>2022</v>
      </c>
      <c r="M4">
        <v>2023</v>
      </c>
      <c r="N4">
        <v>2024</v>
      </c>
      <c r="O4">
        <v>2025</v>
      </c>
      <c r="P4">
        <v>2026</v>
      </c>
    </row>
    <row r="5" spans="2:16" x14ac:dyDescent="0.25">
      <c r="B5" s="2" t="s">
        <v>25</v>
      </c>
      <c r="C5" s="3">
        <v>196003.20258499999</v>
      </c>
      <c r="D5">
        <v>2.2909999999999999</v>
      </c>
      <c r="E5">
        <v>3.1749999999999998</v>
      </c>
      <c r="F5">
        <v>2.2949999999999999</v>
      </c>
      <c r="G5">
        <v>2.2839999999999998</v>
      </c>
      <c r="H5">
        <v>1.9470000000000001</v>
      </c>
      <c r="I5">
        <v>1.9139999999999999</v>
      </c>
      <c r="K5" s="11">
        <f>C5*(1+D5/100)</f>
        <v>200493.63595622234</v>
      </c>
      <c r="L5" s="11">
        <f>K5*(1+E5/100)</f>
        <v>206859.30889783238</v>
      </c>
      <c r="M5" s="11">
        <f t="shared" ref="M5:P5" si="0">L5*(1+F5/100)</f>
        <v>211606.73003703763</v>
      </c>
      <c r="N5" s="11">
        <f t="shared" si="0"/>
        <v>216439.82775108356</v>
      </c>
      <c r="O5" s="11">
        <f t="shared" si="0"/>
        <v>220653.91119739719</v>
      </c>
      <c r="P5" s="11">
        <f t="shared" si="0"/>
        <v>224877.22705771535</v>
      </c>
    </row>
    <row r="6" spans="2:16" x14ac:dyDescent="0.25">
      <c r="B6" s="4" t="s">
        <v>389</v>
      </c>
      <c r="C6" s="5">
        <v>17380317.071715001</v>
      </c>
      <c r="K6" s="11">
        <f t="shared" ref="K6:K69" si="1">C6*(1+D6/100)</f>
        <v>17380317.071715001</v>
      </c>
      <c r="L6" s="11">
        <f t="shared" ref="L6:L69" si="2">K6*(1+E6/100)</f>
        <v>17380317.071715001</v>
      </c>
      <c r="M6" s="11">
        <f t="shared" ref="M6:M69" si="3">L6*(1+F6/100)</f>
        <v>17380317.071715001</v>
      </c>
      <c r="N6" s="11">
        <f t="shared" ref="N6:N69" si="4">M6*(1+G6/100)</f>
        <v>17380317.071715001</v>
      </c>
      <c r="O6" s="11">
        <f t="shared" ref="O6:O69" si="5">N6*(1+H6/100)</f>
        <v>17380317.071715001</v>
      </c>
      <c r="P6" s="11">
        <f t="shared" ref="P6:P69" si="6">O6*(1+I6/100)</f>
        <v>17380317.071715001</v>
      </c>
    </row>
    <row r="7" spans="2:16" ht="45" x14ac:dyDescent="0.25">
      <c r="B7" s="6" t="s">
        <v>390</v>
      </c>
      <c r="C7" s="3">
        <v>10806607.744031001</v>
      </c>
      <c r="K7" s="11">
        <f t="shared" si="1"/>
        <v>10806607.744031001</v>
      </c>
      <c r="L7" s="11">
        <f t="shared" si="2"/>
        <v>10806607.744031001</v>
      </c>
      <c r="M7" s="11">
        <f t="shared" si="3"/>
        <v>10806607.744031001</v>
      </c>
      <c r="N7" s="11">
        <f t="shared" si="4"/>
        <v>10806607.744031001</v>
      </c>
      <c r="O7" s="11">
        <f t="shared" si="5"/>
        <v>10806607.744031001</v>
      </c>
      <c r="P7" s="11">
        <f t="shared" si="6"/>
        <v>10806607.744031001</v>
      </c>
    </row>
    <row r="8" spans="2:16" ht="22.5" x14ac:dyDescent="0.25">
      <c r="B8" s="7" t="s">
        <v>391</v>
      </c>
      <c r="C8" s="5">
        <v>4183138.8259450002</v>
      </c>
      <c r="K8" s="11">
        <f t="shared" si="1"/>
        <v>4183138.8259450002</v>
      </c>
      <c r="L8" s="11">
        <f t="shared" si="2"/>
        <v>4183138.8259450002</v>
      </c>
      <c r="M8" s="11">
        <f t="shared" si="3"/>
        <v>4183138.8259450002</v>
      </c>
      <c r="N8" s="11">
        <f t="shared" si="4"/>
        <v>4183138.8259450002</v>
      </c>
      <c r="O8" s="11">
        <f t="shared" si="5"/>
        <v>4183138.8259450002</v>
      </c>
      <c r="P8" s="11">
        <f t="shared" si="6"/>
        <v>4183138.8259450002</v>
      </c>
    </row>
    <row r="9" spans="2:16" ht="22.5" x14ac:dyDescent="0.25">
      <c r="B9" s="8" t="s">
        <v>27</v>
      </c>
      <c r="C9" s="3">
        <v>164811.076558</v>
      </c>
      <c r="D9">
        <v>9.1069999999999993</v>
      </c>
      <c r="E9">
        <v>1.5149999999999999</v>
      </c>
      <c r="F9">
        <v>2.5129999999999999</v>
      </c>
      <c r="G9">
        <v>3.8620000000000001</v>
      </c>
      <c r="H9">
        <v>2.1120000000000001</v>
      </c>
      <c r="I9">
        <v>2.1120000000000001</v>
      </c>
      <c r="K9" s="11">
        <f t="shared" si="1"/>
        <v>179820.42130013707</v>
      </c>
      <c r="L9" s="11">
        <f t="shared" si="2"/>
        <v>182544.70068283414</v>
      </c>
      <c r="M9" s="11">
        <f t="shared" si="3"/>
        <v>187132.04901099377</v>
      </c>
      <c r="N9" s="11">
        <f t="shared" si="4"/>
        <v>194359.08874379838</v>
      </c>
      <c r="O9" s="11">
        <f t="shared" si="5"/>
        <v>198463.95269806741</v>
      </c>
      <c r="P9" s="11">
        <f t="shared" si="6"/>
        <v>202655.51137905061</v>
      </c>
    </row>
    <row r="10" spans="2:16" ht="22.5" x14ac:dyDescent="0.25">
      <c r="B10" s="8" t="s">
        <v>41</v>
      </c>
      <c r="C10" s="5">
        <v>371215.30375000002</v>
      </c>
      <c r="D10">
        <v>7.4039999999999999</v>
      </c>
      <c r="E10">
        <v>5.5720000000000001</v>
      </c>
      <c r="F10">
        <v>4.1100000000000003</v>
      </c>
      <c r="G10">
        <v>3.64</v>
      </c>
      <c r="H10">
        <v>3.4820000000000002</v>
      </c>
      <c r="I10">
        <v>3.4369999999999998</v>
      </c>
      <c r="K10" s="11">
        <f t="shared" si="1"/>
        <v>398700.08483965008</v>
      </c>
      <c r="L10" s="11">
        <f t="shared" si="2"/>
        <v>420915.65356691537</v>
      </c>
      <c r="M10" s="11">
        <f t="shared" si="3"/>
        <v>438215.28692851553</v>
      </c>
      <c r="N10" s="11">
        <f t="shared" si="4"/>
        <v>454166.32337271346</v>
      </c>
      <c r="O10" s="11">
        <f t="shared" si="5"/>
        <v>469980.39475255139</v>
      </c>
      <c r="P10" s="11">
        <f t="shared" si="6"/>
        <v>486133.62092019658</v>
      </c>
    </row>
    <row r="11" spans="2:16" ht="56.25" x14ac:dyDescent="0.25">
      <c r="B11" s="8" t="s">
        <v>392</v>
      </c>
      <c r="C11" s="3"/>
      <c r="K11" s="11">
        <f t="shared" si="1"/>
        <v>0</v>
      </c>
      <c r="L11" s="11">
        <f t="shared" si="2"/>
        <v>0</v>
      </c>
      <c r="M11" s="11">
        <f t="shared" si="3"/>
        <v>0</v>
      </c>
      <c r="N11" s="11">
        <f t="shared" si="4"/>
        <v>0</v>
      </c>
      <c r="O11" s="11">
        <f t="shared" si="5"/>
        <v>0</v>
      </c>
      <c r="P11" s="11">
        <f t="shared" si="6"/>
        <v>0</v>
      </c>
    </row>
    <row r="12" spans="2:16" ht="22.5" x14ac:dyDescent="0.25">
      <c r="B12" s="8" t="s">
        <v>95</v>
      </c>
      <c r="C12" s="5">
        <v>10087.478590000001</v>
      </c>
      <c r="D12">
        <v>-2.1680000000000001</v>
      </c>
      <c r="E12">
        <v>5.7080000000000002</v>
      </c>
      <c r="F12">
        <v>5.9</v>
      </c>
      <c r="G12">
        <v>5.5</v>
      </c>
      <c r="H12">
        <v>5.5</v>
      </c>
      <c r="I12">
        <v>5.5</v>
      </c>
      <c r="K12" s="11">
        <f t="shared" si="1"/>
        <v>9868.7820541687997</v>
      </c>
      <c r="L12" s="11">
        <f t="shared" si="2"/>
        <v>10432.092133820755</v>
      </c>
      <c r="M12" s="11">
        <f t="shared" si="3"/>
        <v>11047.585569716179</v>
      </c>
      <c r="N12" s="11">
        <f t="shared" si="4"/>
        <v>11655.202776050568</v>
      </c>
      <c r="O12" s="11">
        <f>N12*(1+H12/100)</f>
        <v>12296.238928733348</v>
      </c>
      <c r="P12" s="11">
        <f t="shared" si="6"/>
        <v>12972.532069813682</v>
      </c>
    </row>
    <row r="13" spans="2:16" ht="22.5" x14ac:dyDescent="0.25">
      <c r="B13" s="8" t="s">
        <v>117</v>
      </c>
      <c r="C13" s="3">
        <v>20173.504389999998</v>
      </c>
      <c r="D13">
        <v>13</v>
      </c>
      <c r="E13">
        <v>7</v>
      </c>
      <c r="F13">
        <v>4.5</v>
      </c>
      <c r="G13">
        <v>3.4</v>
      </c>
      <c r="H13">
        <v>3.4</v>
      </c>
      <c r="I13">
        <v>3</v>
      </c>
      <c r="K13" s="11">
        <f t="shared" si="1"/>
        <v>22796.059960699997</v>
      </c>
      <c r="L13" s="11">
        <f t="shared" si="2"/>
        <v>24391.784157948998</v>
      </c>
      <c r="M13" s="11">
        <f t="shared" si="3"/>
        <v>25489.4144450567</v>
      </c>
      <c r="N13" s="11">
        <f t="shared" si="4"/>
        <v>26356.054536188629</v>
      </c>
      <c r="O13" s="11">
        <f t="shared" si="5"/>
        <v>27252.160390419042</v>
      </c>
      <c r="P13" s="11">
        <f t="shared" si="6"/>
        <v>28069.725202131613</v>
      </c>
    </row>
    <row r="14" spans="2:16" ht="22.5" x14ac:dyDescent="0.25">
      <c r="B14" s="8" t="s">
        <v>124</v>
      </c>
      <c r="C14" s="5">
        <v>69115.599530000007</v>
      </c>
      <c r="D14">
        <v>3.5</v>
      </c>
      <c r="E14">
        <v>6</v>
      </c>
      <c r="F14">
        <v>2.0499999999999998</v>
      </c>
      <c r="G14">
        <v>2.04</v>
      </c>
      <c r="H14">
        <v>2.04</v>
      </c>
      <c r="I14">
        <v>2.04</v>
      </c>
      <c r="K14" s="11">
        <f t="shared" si="1"/>
        <v>71534.64551355</v>
      </c>
      <c r="L14" s="11">
        <f t="shared" si="2"/>
        <v>75826.724244363009</v>
      </c>
      <c r="M14" s="11">
        <f t="shared" si="3"/>
        <v>77381.172091372442</v>
      </c>
      <c r="N14" s="11">
        <f t="shared" si="4"/>
        <v>78959.748002036431</v>
      </c>
      <c r="O14" s="11">
        <f t="shared" si="5"/>
        <v>80570.526861277976</v>
      </c>
      <c r="P14" s="11">
        <f t="shared" si="6"/>
        <v>82214.165609248041</v>
      </c>
    </row>
    <row r="15" spans="2:16" ht="22.5" x14ac:dyDescent="0.25">
      <c r="B15" s="8" t="s">
        <v>126</v>
      </c>
      <c r="C15" s="3">
        <v>601905.46421899996</v>
      </c>
      <c r="D15">
        <v>9.0960000000000001</v>
      </c>
      <c r="E15">
        <v>7.0709999999999997</v>
      </c>
      <c r="F15">
        <v>4.5430000000000001</v>
      </c>
      <c r="G15">
        <v>3.7570000000000001</v>
      </c>
      <c r="H15">
        <v>3.726</v>
      </c>
      <c r="I15">
        <v>3.4550000000000001</v>
      </c>
      <c r="K15" s="11">
        <f t="shared" si="1"/>
        <v>656654.7852443601</v>
      </c>
      <c r="L15" s="11">
        <f t="shared" si="2"/>
        <v>703086.84510898881</v>
      </c>
      <c r="M15" s="11">
        <f t="shared" si="3"/>
        <v>735028.08048229024</v>
      </c>
      <c r="N15" s="11">
        <f t="shared" si="4"/>
        <v>762643.08546600991</v>
      </c>
      <c r="O15" s="11">
        <f t="shared" si="5"/>
        <v>791059.16683047346</v>
      </c>
      <c r="P15" s="11">
        <f t="shared" si="6"/>
        <v>818390.2610444664</v>
      </c>
    </row>
    <row r="16" spans="2:16" ht="22.5" x14ac:dyDescent="0.25">
      <c r="B16" s="8" t="s">
        <v>134</v>
      </c>
      <c r="C16" s="5">
        <v>1169270.854481</v>
      </c>
      <c r="D16">
        <v>11.516</v>
      </c>
      <c r="E16">
        <v>5.8929999999999998</v>
      </c>
      <c r="F16">
        <v>4.3049999999999997</v>
      </c>
      <c r="G16">
        <v>3.55</v>
      </c>
      <c r="H16">
        <v>2.9830000000000001</v>
      </c>
      <c r="I16">
        <v>2.883</v>
      </c>
      <c r="K16" s="11">
        <f t="shared" si="1"/>
        <v>1303924.086083032</v>
      </c>
      <c r="L16" s="11">
        <f t="shared" si="2"/>
        <v>1380764.3324759048</v>
      </c>
      <c r="M16" s="11">
        <f t="shared" si="3"/>
        <v>1440206.2369889927</v>
      </c>
      <c r="N16" s="11">
        <f t="shared" si="4"/>
        <v>1491333.558402102</v>
      </c>
      <c r="O16" s="11">
        <f t="shared" si="5"/>
        <v>1535820.0384492367</v>
      </c>
      <c r="P16" s="11">
        <f t="shared" si="6"/>
        <v>1580097.7301577281</v>
      </c>
    </row>
    <row r="17" spans="2:16" ht="22.5" x14ac:dyDescent="0.25">
      <c r="B17" s="8" t="s">
        <v>138</v>
      </c>
      <c r="C17" s="3">
        <v>58266.345573999999</v>
      </c>
      <c r="D17">
        <v>4.3840000000000003</v>
      </c>
      <c r="E17">
        <v>5.1440000000000001</v>
      </c>
      <c r="F17">
        <v>4.3479999999999999</v>
      </c>
      <c r="G17">
        <v>3.6440000000000001</v>
      </c>
      <c r="H17">
        <v>3.3889999999999998</v>
      </c>
      <c r="I17">
        <v>3.3759999999999999</v>
      </c>
      <c r="K17" s="11">
        <f t="shared" si="1"/>
        <v>60820.742163964162</v>
      </c>
      <c r="L17" s="11">
        <f t="shared" si="2"/>
        <v>63949.361140878471</v>
      </c>
      <c r="M17" s="11">
        <f t="shared" si="3"/>
        <v>66729.879363283864</v>
      </c>
      <c r="N17" s="11">
        <f t="shared" si="4"/>
        <v>69161.516167281923</v>
      </c>
      <c r="O17" s="11">
        <f t="shared" si="5"/>
        <v>71505.399950191102</v>
      </c>
      <c r="P17" s="11">
        <f t="shared" si="6"/>
        <v>73919.422252509554</v>
      </c>
    </row>
    <row r="18" spans="2:16" ht="22.5" x14ac:dyDescent="0.25">
      <c r="B18" s="8" t="s">
        <v>167</v>
      </c>
      <c r="C18" s="5">
        <v>85517.598694999993</v>
      </c>
      <c r="D18">
        <v>20</v>
      </c>
      <c r="E18">
        <v>2.4</v>
      </c>
      <c r="F18">
        <v>4.5</v>
      </c>
      <c r="G18">
        <v>4</v>
      </c>
      <c r="H18">
        <v>4</v>
      </c>
      <c r="I18">
        <v>4</v>
      </c>
      <c r="K18" s="11">
        <f t="shared" si="1"/>
        <v>102621.11843399999</v>
      </c>
      <c r="L18" s="11">
        <f t="shared" si="2"/>
        <v>105084.025276416</v>
      </c>
      <c r="M18" s="11">
        <f t="shared" si="3"/>
        <v>109812.80641385471</v>
      </c>
      <c r="N18" s="11">
        <f t="shared" si="4"/>
        <v>114205.3186704089</v>
      </c>
      <c r="O18" s="11">
        <f t="shared" si="5"/>
        <v>118773.53141722527</v>
      </c>
      <c r="P18" s="11">
        <f t="shared" si="6"/>
        <v>123524.47267391428</v>
      </c>
    </row>
    <row r="19" spans="2:16" x14ac:dyDescent="0.25">
      <c r="B19" s="8" t="s">
        <v>171</v>
      </c>
      <c r="C19" s="3">
        <v>441825.39257899998</v>
      </c>
      <c r="D19">
        <v>12.076000000000001</v>
      </c>
      <c r="E19">
        <v>6.9969999999999999</v>
      </c>
      <c r="F19">
        <v>4.758</v>
      </c>
      <c r="G19">
        <v>3.6579999999999999</v>
      </c>
      <c r="H19">
        <v>3.4460000000000002</v>
      </c>
      <c r="I19">
        <v>3.3210000000000002</v>
      </c>
      <c r="K19" s="11">
        <f t="shared" si="1"/>
        <v>495180.22698684002</v>
      </c>
      <c r="L19" s="11">
        <f t="shared" si="2"/>
        <v>529827.98746910924</v>
      </c>
      <c r="M19" s="11">
        <f t="shared" si="3"/>
        <v>555037.20311288943</v>
      </c>
      <c r="N19" s="11">
        <f t="shared" si="4"/>
        <v>575340.46400275896</v>
      </c>
      <c r="O19" s="11">
        <f t="shared" si="5"/>
        <v>595166.69639229402</v>
      </c>
      <c r="P19" s="11">
        <f t="shared" si="6"/>
        <v>614932.18237948208</v>
      </c>
    </row>
    <row r="20" spans="2:16" x14ac:dyDescent="0.25">
      <c r="B20" s="8" t="s">
        <v>195</v>
      </c>
      <c r="C20" s="5">
        <v>20831.996023</v>
      </c>
      <c r="D20">
        <v>4.4829999999999997</v>
      </c>
      <c r="E20">
        <v>3.9409999999999998</v>
      </c>
      <c r="F20">
        <v>2.7080000000000002</v>
      </c>
      <c r="G20">
        <v>2.42</v>
      </c>
      <c r="H20">
        <v>2.2730000000000001</v>
      </c>
      <c r="I20">
        <v>2.2029999999999998</v>
      </c>
      <c r="K20" s="11">
        <f t="shared" si="1"/>
        <v>21765.894404711089</v>
      </c>
      <c r="L20" s="11">
        <f t="shared" si="2"/>
        <v>22623.688303200754</v>
      </c>
      <c r="M20" s="11">
        <f t="shared" si="3"/>
        <v>23236.337782451428</v>
      </c>
      <c r="N20" s="11">
        <f t="shared" si="4"/>
        <v>23798.657156786754</v>
      </c>
      <c r="O20" s="11">
        <f t="shared" si="5"/>
        <v>24339.600633960516</v>
      </c>
      <c r="P20" s="11">
        <f t="shared" si="6"/>
        <v>24875.802035926667</v>
      </c>
    </row>
    <row r="21" spans="2:16" ht="22.5" x14ac:dyDescent="0.25">
      <c r="B21" s="8" t="s">
        <v>205</v>
      </c>
      <c r="C21" s="3">
        <v>31164.737568</v>
      </c>
      <c r="K21" s="11">
        <f t="shared" si="1"/>
        <v>31164.737568</v>
      </c>
      <c r="L21" s="11">
        <f t="shared" si="2"/>
        <v>31164.737568</v>
      </c>
      <c r="M21" s="11">
        <f t="shared" si="3"/>
        <v>31164.737568</v>
      </c>
      <c r="N21" s="11">
        <f t="shared" si="4"/>
        <v>31164.737568</v>
      </c>
      <c r="O21" s="11">
        <f t="shared" si="5"/>
        <v>31164.737568</v>
      </c>
      <c r="P21" s="11">
        <f t="shared" si="6"/>
        <v>31164.737568</v>
      </c>
    </row>
    <row r="22" spans="2:16" ht="33.75" x14ac:dyDescent="0.25">
      <c r="B22" s="8" t="s">
        <v>206</v>
      </c>
      <c r="C22" s="5">
        <v>25574.095817000001</v>
      </c>
      <c r="D22">
        <v>15.03</v>
      </c>
      <c r="E22">
        <v>11.778</v>
      </c>
      <c r="F22">
        <v>3.6560000000000001</v>
      </c>
      <c r="G22">
        <v>3</v>
      </c>
      <c r="H22">
        <v>2.9</v>
      </c>
      <c r="I22">
        <v>2.9</v>
      </c>
      <c r="K22" s="11">
        <f t="shared" si="1"/>
        <v>29417.882418295103</v>
      </c>
      <c r="L22" s="11">
        <f t="shared" si="2"/>
        <v>32882.720609521901</v>
      </c>
      <c r="M22" s="11">
        <f t="shared" si="3"/>
        <v>34084.912875006019</v>
      </c>
      <c r="N22" s="11">
        <f t="shared" si="4"/>
        <v>35107.460261256201</v>
      </c>
      <c r="O22" s="11">
        <f t="shared" si="5"/>
        <v>36125.576608832627</v>
      </c>
      <c r="P22" s="11">
        <f t="shared" si="6"/>
        <v>37173.218330488773</v>
      </c>
    </row>
    <row r="23" spans="2:16" x14ac:dyDescent="0.25">
      <c r="B23" s="8" t="s">
        <v>219</v>
      </c>
      <c r="C23" s="3">
        <v>14943.941819</v>
      </c>
      <c r="D23">
        <v>5.0999999999999996</v>
      </c>
      <c r="E23">
        <v>5.8</v>
      </c>
      <c r="F23">
        <v>2.94</v>
      </c>
      <c r="G23">
        <v>2.8</v>
      </c>
      <c r="H23">
        <v>2.4</v>
      </c>
      <c r="I23">
        <v>2.2799999999999998</v>
      </c>
      <c r="K23" s="11">
        <f t="shared" si="1"/>
        <v>15706.082851768999</v>
      </c>
      <c r="L23" s="11">
        <f t="shared" si="2"/>
        <v>16617.0356571716</v>
      </c>
      <c r="M23" s="11">
        <f t="shared" si="3"/>
        <v>17105.576505492445</v>
      </c>
      <c r="N23" s="11">
        <f t="shared" si="4"/>
        <v>17584.532647646232</v>
      </c>
      <c r="O23" s="11">
        <f t="shared" si="5"/>
        <v>18006.561431189741</v>
      </c>
      <c r="P23" s="11">
        <f t="shared" si="6"/>
        <v>18417.111031820867</v>
      </c>
    </row>
    <row r="24" spans="2:16" ht="22.5" x14ac:dyDescent="0.25">
      <c r="B24" s="8" t="s">
        <v>245</v>
      </c>
      <c r="C24" s="5">
        <v>576473.05906100001</v>
      </c>
      <c r="D24">
        <v>6.6740000000000004</v>
      </c>
      <c r="E24">
        <v>4.3</v>
      </c>
      <c r="F24">
        <v>3.992</v>
      </c>
      <c r="G24">
        <v>3.5760000000000001</v>
      </c>
      <c r="H24">
        <v>3.3690000000000002</v>
      </c>
      <c r="I24">
        <v>3.347</v>
      </c>
      <c r="K24" s="11">
        <f t="shared" si="1"/>
        <v>614946.87102273118</v>
      </c>
      <c r="L24" s="11">
        <f t="shared" si="2"/>
        <v>641389.58647670853</v>
      </c>
      <c r="M24" s="11">
        <f t="shared" si="3"/>
        <v>666993.85876885871</v>
      </c>
      <c r="N24" s="11">
        <f t="shared" si="4"/>
        <v>690845.55915843311</v>
      </c>
      <c r="O24" s="11">
        <f t="shared" si="5"/>
        <v>714120.14604648075</v>
      </c>
      <c r="P24" s="11">
        <f t="shared" si="6"/>
        <v>738021.74733465642</v>
      </c>
    </row>
    <row r="25" spans="2:16" ht="22.5" x14ac:dyDescent="0.25">
      <c r="B25" s="8" t="s">
        <v>277</v>
      </c>
      <c r="C25" s="3">
        <v>79624.703095999997</v>
      </c>
      <c r="D25">
        <v>13.109</v>
      </c>
      <c r="E25">
        <v>8.1159999999999997</v>
      </c>
      <c r="F25">
        <v>6.3360000000000003</v>
      </c>
      <c r="G25">
        <v>4.5</v>
      </c>
      <c r="H25">
        <v>4</v>
      </c>
      <c r="I25">
        <v>4</v>
      </c>
      <c r="K25" s="11">
        <f t="shared" si="1"/>
        <v>90062.705424854634</v>
      </c>
      <c r="L25" s="11">
        <f t="shared" si="2"/>
        <v>97372.194597135822</v>
      </c>
      <c r="M25" s="11">
        <f t="shared" si="3"/>
        <v>103541.69684681036</v>
      </c>
      <c r="N25" s="11">
        <f t="shared" si="4"/>
        <v>108201.07320491681</v>
      </c>
      <c r="O25" s="11">
        <f t="shared" si="5"/>
        <v>112529.11613311349</v>
      </c>
      <c r="P25" s="11">
        <f t="shared" si="6"/>
        <v>117030.28077843804</v>
      </c>
    </row>
    <row r="26" spans="2:16" ht="45" x14ac:dyDescent="0.25">
      <c r="B26" s="8" t="s">
        <v>304</v>
      </c>
      <c r="C26" s="5">
        <v>81541.360297000007</v>
      </c>
      <c r="D26">
        <v>13.842000000000001</v>
      </c>
      <c r="E26">
        <v>5.8140000000000001</v>
      </c>
      <c r="F26">
        <v>4.6340000000000003</v>
      </c>
      <c r="G26">
        <v>5.1319999999999997</v>
      </c>
      <c r="H26">
        <v>4.8490000000000002</v>
      </c>
      <c r="I26">
        <v>4.12</v>
      </c>
      <c r="K26" s="11">
        <f t="shared" si="1"/>
        <v>92828.315389310752</v>
      </c>
      <c r="L26" s="11">
        <f t="shared" si="2"/>
        <v>98225.353646045289</v>
      </c>
      <c r="M26" s="11">
        <f t="shared" si="3"/>
        <v>102777.11653400303</v>
      </c>
      <c r="N26" s="11">
        <f t="shared" si="4"/>
        <v>108051.63815452806</v>
      </c>
      <c r="O26" s="11">
        <f t="shared" si="5"/>
        <v>113291.06208864112</v>
      </c>
      <c r="P26" s="11">
        <f t="shared" si="6"/>
        <v>117958.65384669312</v>
      </c>
    </row>
    <row r="27" spans="2:16" ht="22.5" x14ac:dyDescent="0.25">
      <c r="B27" s="8" t="s">
        <v>306</v>
      </c>
      <c r="C27" s="3">
        <v>40627.446859999996</v>
      </c>
      <c r="D27">
        <v>9.5500000000000007</v>
      </c>
      <c r="E27">
        <v>6.9859999999999998</v>
      </c>
      <c r="F27">
        <v>5.4370000000000003</v>
      </c>
      <c r="G27">
        <v>3.9590000000000001</v>
      </c>
      <c r="H27">
        <v>3.0310000000000001</v>
      </c>
      <c r="I27">
        <v>2.5750000000000002</v>
      </c>
      <c r="K27" s="11">
        <f t="shared" si="1"/>
        <v>44507.368035129992</v>
      </c>
      <c r="L27" s="11">
        <f t="shared" si="2"/>
        <v>47616.652766064173</v>
      </c>
      <c r="M27" s="11">
        <f t="shared" si="3"/>
        <v>50205.570176955087</v>
      </c>
      <c r="N27" s="11">
        <f t="shared" si="4"/>
        <v>52193.208700260737</v>
      </c>
      <c r="O27" s="11">
        <f t="shared" si="5"/>
        <v>53775.184855965643</v>
      </c>
      <c r="P27" s="11">
        <f t="shared" si="6"/>
        <v>55159.895866006758</v>
      </c>
    </row>
    <row r="28" spans="2:16" x14ac:dyDescent="0.25">
      <c r="B28" s="8" t="s">
        <v>314</v>
      </c>
      <c r="C28" s="5">
        <v>320168.86703800003</v>
      </c>
      <c r="D28">
        <v>10.831</v>
      </c>
      <c r="E28">
        <v>2.9169999999999998</v>
      </c>
      <c r="F28">
        <v>2.3109999999999999</v>
      </c>
      <c r="G28">
        <v>2.6459999999999999</v>
      </c>
      <c r="H28">
        <v>2.5760000000000001</v>
      </c>
      <c r="I28">
        <v>2.641</v>
      </c>
      <c r="K28" s="11">
        <f t="shared" si="1"/>
        <v>354846.35702688579</v>
      </c>
      <c r="L28" s="11">
        <f t="shared" si="2"/>
        <v>365197.22526136</v>
      </c>
      <c r="M28" s="11">
        <f t="shared" si="3"/>
        <v>373636.93313715002</v>
      </c>
      <c r="N28" s="11">
        <f t="shared" si="4"/>
        <v>383523.36638795899</v>
      </c>
      <c r="O28" s="11">
        <f t="shared" si="5"/>
        <v>393402.92830611282</v>
      </c>
      <c r="P28" s="11">
        <f t="shared" si="6"/>
        <v>403792.69964267727</v>
      </c>
    </row>
    <row r="29" spans="2:16" ht="22.5" x14ac:dyDescent="0.25">
      <c r="B29" s="7" t="s">
        <v>25</v>
      </c>
      <c r="C29" s="3">
        <v>196003.20258499999</v>
      </c>
      <c r="D29">
        <v>2.2909999999999999</v>
      </c>
      <c r="E29">
        <v>3.1749999999999998</v>
      </c>
      <c r="F29">
        <v>2.2949999999999999</v>
      </c>
      <c r="G29">
        <v>2.2839999999999998</v>
      </c>
      <c r="H29">
        <v>1.9470000000000001</v>
      </c>
      <c r="I29">
        <v>1.9139999999999999</v>
      </c>
      <c r="K29" s="11">
        <f t="shared" si="1"/>
        <v>200493.63595622234</v>
      </c>
      <c r="L29" s="11">
        <f t="shared" si="2"/>
        <v>206859.30889783238</v>
      </c>
      <c r="M29" s="11">
        <f t="shared" si="3"/>
        <v>211606.73003703763</v>
      </c>
      <c r="N29" s="11">
        <f t="shared" si="4"/>
        <v>216439.82775108356</v>
      </c>
      <c r="O29" s="11">
        <f t="shared" si="5"/>
        <v>220653.91119739719</v>
      </c>
      <c r="P29" s="11">
        <f t="shared" si="6"/>
        <v>224877.22705771535</v>
      </c>
    </row>
    <row r="30" spans="2:16" x14ac:dyDescent="0.25">
      <c r="B30" s="7" t="s">
        <v>71</v>
      </c>
      <c r="C30" s="5">
        <v>410034.78848699998</v>
      </c>
      <c r="D30">
        <v>5.78</v>
      </c>
      <c r="E30">
        <v>8.0259999999999998</v>
      </c>
      <c r="F30">
        <v>0.56999999999999995</v>
      </c>
      <c r="G30">
        <v>2.367</v>
      </c>
      <c r="H30">
        <v>1.538</v>
      </c>
      <c r="I30">
        <v>1.3540000000000001</v>
      </c>
      <c r="K30" s="11">
        <f t="shared" si="1"/>
        <v>433734.79926154861</v>
      </c>
      <c r="L30" s="11">
        <f t="shared" si="2"/>
        <v>468546.35425028048</v>
      </c>
      <c r="M30" s="11">
        <f t="shared" si="3"/>
        <v>471217.0684695071</v>
      </c>
      <c r="N30" s="11">
        <f t="shared" si="4"/>
        <v>482370.77648018039</v>
      </c>
      <c r="O30" s="11">
        <f t="shared" si="5"/>
        <v>489789.63902244554</v>
      </c>
      <c r="P30" s="11">
        <f t="shared" si="6"/>
        <v>496421.39073480951</v>
      </c>
    </row>
    <row r="31" spans="2:16" ht="22.5" x14ac:dyDescent="0.25">
      <c r="B31" s="7" t="s">
        <v>495</v>
      </c>
      <c r="C31" s="3">
        <v>574230.98496599996</v>
      </c>
      <c r="D31">
        <v>17.469000000000001</v>
      </c>
      <c r="E31">
        <v>4.2469999999999999</v>
      </c>
      <c r="F31">
        <v>3.5819999999999999</v>
      </c>
      <c r="G31">
        <v>3.4910000000000001</v>
      </c>
      <c r="H31">
        <v>3.488</v>
      </c>
      <c r="I31">
        <v>3.47</v>
      </c>
      <c r="K31" s="11">
        <f t="shared" si="1"/>
        <v>674543.39572971046</v>
      </c>
      <c r="L31" s="11">
        <f t="shared" si="2"/>
        <v>703191.25374635123</v>
      </c>
      <c r="M31" s="11">
        <f t="shared" si="3"/>
        <v>728379.56445554551</v>
      </c>
      <c r="N31" s="11">
        <f t="shared" si="4"/>
        <v>753807.29505068855</v>
      </c>
      <c r="O31" s="11">
        <f t="shared" si="5"/>
        <v>780100.09350205655</v>
      </c>
      <c r="P31" s="11">
        <f t="shared" si="6"/>
        <v>807169.56674657785</v>
      </c>
    </row>
    <row r="32" spans="2:16" x14ac:dyDescent="0.25">
      <c r="B32" s="7" t="s">
        <v>496</v>
      </c>
      <c r="C32" s="5">
        <v>9906.4584379999997</v>
      </c>
      <c r="K32" s="11">
        <f t="shared" si="1"/>
        <v>9906.4584379999997</v>
      </c>
      <c r="L32" s="11">
        <f t="shared" si="2"/>
        <v>9906.4584379999997</v>
      </c>
      <c r="M32" s="11">
        <f t="shared" si="3"/>
        <v>9906.4584379999997</v>
      </c>
      <c r="N32" s="11">
        <f t="shared" si="4"/>
        <v>9906.4584379999997</v>
      </c>
      <c r="O32" s="11">
        <f t="shared" si="5"/>
        <v>9906.4584379999997</v>
      </c>
      <c r="P32" s="11">
        <f t="shared" si="6"/>
        <v>9906.4584379999997</v>
      </c>
    </row>
    <row r="33" spans="2:16" ht="33.75" x14ac:dyDescent="0.25">
      <c r="B33" s="7" t="s">
        <v>97</v>
      </c>
      <c r="C33" s="3">
        <v>160023.42376400001</v>
      </c>
      <c r="D33">
        <v>10.682</v>
      </c>
      <c r="E33">
        <v>4.1660000000000004</v>
      </c>
      <c r="F33">
        <v>2.8</v>
      </c>
      <c r="G33">
        <v>2.6</v>
      </c>
      <c r="H33">
        <v>2.6</v>
      </c>
      <c r="I33">
        <v>2.5</v>
      </c>
      <c r="K33" s="11">
        <f t="shared" si="1"/>
        <v>177117.12589047046</v>
      </c>
      <c r="L33" s="11">
        <f t="shared" si="2"/>
        <v>184495.82535506747</v>
      </c>
      <c r="M33" s="11">
        <f t="shared" si="3"/>
        <v>189661.70846500937</v>
      </c>
      <c r="N33" s="11">
        <f t="shared" si="4"/>
        <v>194592.91288509962</v>
      </c>
      <c r="O33" s="11">
        <f t="shared" si="5"/>
        <v>199652.32862011221</v>
      </c>
      <c r="P33" s="11">
        <f t="shared" si="6"/>
        <v>204643.63683561501</v>
      </c>
    </row>
    <row r="34" spans="2:16" ht="22.5" x14ac:dyDescent="0.25">
      <c r="B34" s="7" t="s">
        <v>99</v>
      </c>
      <c r="C34" s="5">
        <v>98964.508726999993</v>
      </c>
      <c r="D34">
        <v>7.5</v>
      </c>
      <c r="E34">
        <v>5</v>
      </c>
      <c r="F34">
        <v>2.5</v>
      </c>
      <c r="G34">
        <v>2.6</v>
      </c>
      <c r="H34">
        <v>2.5</v>
      </c>
      <c r="I34">
        <v>2.5</v>
      </c>
      <c r="K34" s="11">
        <f t="shared" si="1"/>
        <v>106386.84688152499</v>
      </c>
      <c r="L34" s="11">
        <f t="shared" si="2"/>
        <v>111706.18922560125</v>
      </c>
      <c r="M34" s="11">
        <f t="shared" si="3"/>
        <v>114498.84395624127</v>
      </c>
      <c r="N34" s="11">
        <f t="shared" si="4"/>
        <v>117475.81389910354</v>
      </c>
      <c r="O34" s="11">
        <f t="shared" si="5"/>
        <v>120412.70924658111</v>
      </c>
      <c r="P34" s="11">
        <f t="shared" si="6"/>
        <v>123423.02697774563</v>
      </c>
    </row>
    <row r="35" spans="2:16" x14ac:dyDescent="0.25">
      <c r="B35" s="7" t="s">
        <v>158</v>
      </c>
      <c r="C35" s="3">
        <v>5247.5381539999998</v>
      </c>
      <c r="D35">
        <v>4.8369999999999997</v>
      </c>
      <c r="E35">
        <v>4</v>
      </c>
      <c r="F35">
        <v>3</v>
      </c>
      <c r="G35">
        <v>3</v>
      </c>
      <c r="H35">
        <v>2.5</v>
      </c>
      <c r="I35">
        <v>2.5</v>
      </c>
      <c r="K35" s="11">
        <f t="shared" si="1"/>
        <v>5501.3615745089801</v>
      </c>
      <c r="L35" s="11">
        <f t="shared" si="2"/>
        <v>5721.416037489339</v>
      </c>
      <c r="M35" s="11">
        <f t="shared" si="3"/>
        <v>5893.0585186140197</v>
      </c>
      <c r="N35" s="11">
        <f t="shared" si="4"/>
        <v>6069.8502741724405</v>
      </c>
      <c r="O35" s="11">
        <f t="shared" si="5"/>
        <v>6221.5965310267511</v>
      </c>
      <c r="P35" s="11">
        <f t="shared" si="6"/>
        <v>6377.1364443024195</v>
      </c>
    </row>
    <row r="36" spans="2:16" x14ac:dyDescent="0.25">
      <c r="B36" s="7" t="s">
        <v>169</v>
      </c>
      <c r="C36" s="5">
        <v>68271.005971000006</v>
      </c>
      <c r="D36">
        <v>6.141</v>
      </c>
      <c r="E36">
        <v>2</v>
      </c>
      <c r="F36">
        <v>1.0129999999999999</v>
      </c>
      <c r="G36">
        <v>0.93799999999999994</v>
      </c>
      <c r="H36">
        <v>0.86299999999999999</v>
      </c>
      <c r="I36">
        <v>0.94499999999999995</v>
      </c>
      <c r="K36" s="11">
        <f t="shared" si="1"/>
        <v>72463.528447679113</v>
      </c>
      <c r="L36" s="11">
        <f t="shared" si="2"/>
        <v>73912.799016632693</v>
      </c>
      <c r="M36" s="11">
        <f t="shared" si="3"/>
        <v>74661.535670671175</v>
      </c>
      <c r="N36" s="11">
        <f t="shared" si="4"/>
        <v>75361.860875262064</v>
      </c>
      <c r="O36" s="11">
        <f t="shared" si="5"/>
        <v>76012.233734615569</v>
      </c>
      <c r="P36" s="11">
        <f t="shared" si="6"/>
        <v>76730.549343407678</v>
      </c>
    </row>
    <row r="37" spans="2:16" x14ac:dyDescent="0.25">
      <c r="B37" s="7" t="s">
        <v>175</v>
      </c>
      <c r="C37" s="3">
        <v>574585.97235499998</v>
      </c>
      <c r="D37">
        <v>13.183</v>
      </c>
      <c r="E37">
        <v>7.7489999999999997</v>
      </c>
      <c r="F37">
        <v>2.7170000000000001</v>
      </c>
      <c r="G37">
        <v>2.2210000000000001</v>
      </c>
      <c r="H37">
        <v>1.9370000000000001</v>
      </c>
      <c r="I37">
        <v>1.8360000000000001</v>
      </c>
      <c r="K37" s="11">
        <f t="shared" si="1"/>
        <v>650333.64109055954</v>
      </c>
      <c r="L37" s="11">
        <f t="shared" si="2"/>
        <v>700727.99493866705</v>
      </c>
      <c r="M37" s="11">
        <f t="shared" si="3"/>
        <v>719766.77456115058</v>
      </c>
      <c r="N37" s="11">
        <f t="shared" si="4"/>
        <v>735752.79462415376</v>
      </c>
      <c r="O37" s="11">
        <f t="shared" si="5"/>
        <v>750004.32625602372</v>
      </c>
      <c r="P37" s="11">
        <f t="shared" si="6"/>
        <v>763774.4056860843</v>
      </c>
    </row>
    <row r="38" spans="2:16" x14ac:dyDescent="0.25">
      <c r="B38" s="7" t="s">
        <v>185</v>
      </c>
      <c r="C38" s="5">
        <v>445851.88730399997</v>
      </c>
      <c r="D38">
        <v>9.0399999999999991</v>
      </c>
      <c r="E38">
        <v>4.3609999999999998</v>
      </c>
      <c r="F38">
        <v>3.7309999999999999</v>
      </c>
      <c r="G38">
        <v>3.4820000000000002</v>
      </c>
      <c r="H38">
        <v>3.3780000000000001</v>
      </c>
      <c r="I38">
        <v>3.3410000000000002</v>
      </c>
      <c r="K38" s="11">
        <f t="shared" si="1"/>
        <v>486156.8979162816</v>
      </c>
      <c r="L38" s="11">
        <f t="shared" si="2"/>
        <v>507358.20023441059</v>
      </c>
      <c r="M38" s="11">
        <f t="shared" si="3"/>
        <v>526287.73468515638</v>
      </c>
      <c r="N38" s="11">
        <f t="shared" si="4"/>
        <v>544613.07360689354</v>
      </c>
      <c r="O38" s="11">
        <f t="shared" si="5"/>
        <v>563010.10323333438</v>
      </c>
      <c r="P38" s="11">
        <f t="shared" si="6"/>
        <v>581820.27078235999</v>
      </c>
    </row>
    <row r="39" spans="2:16" ht="22.5" x14ac:dyDescent="0.25">
      <c r="B39" s="7" t="s">
        <v>247</v>
      </c>
      <c r="C39" s="3">
        <v>35701.329468000004</v>
      </c>
      <c r="D39">
        <v>4.5430000000000001</v>
      </c>
      <c r="E39">
        <v>6.4429999999999996</v>
      </c>
      <c r="F39">
        <v>10.4</v>
      </c>
      <c r="G39">
        <v>5.7679999999999998</v>
      </c>
      <c r="H39">
        <v>3.6970000000000001</v>
      </c>
      <c r="I39">
        <v>3.3940000000000001</v>
      </c>
      <c r="K39" s="11">
        <f t="shared" si="1"/>
        <v>37323.240865731248</v>
      </c>
      <c r="L39" s="11">
        <f t="shared" si="2"/>
        <v>39727.977274710312</v>
      </c>
      <c r="M39" s="11">
        <f t="shared" si="3"/>
        <v>43859.686911280187</v>
      </c>
      <c r="N39" s="11">
        <f t="shared" si="4"/>
        <v>46389.513652322828</v>
      </c>
      <c r="O39" s="11">
        <f t="shared" si="5"/>
        <v>48104.533972049197</v>
      </c>
      <c r="P39" s="11">
        <f t="shared" si="6"/>
        <v>49737.20185506055</v>
      </c>
    </row>
    <row r="40" spans="2:16" x14ac:dyDescent="0.25">
      <c r="B40" s="7" t="s">
        <v>257</v>
      </c>
      <c r="C40" s="5">
        <v>78858.604720000003</v>
      </c>
      <c r="D40">
        <v>3.3180000000000001</v>
      </c>
      <c r="E40">
        <v>6.6929999999999996</v>
      </c>
      <c r="F40">
        <v>4.7130000000000001</v>
      </c>
      <c r="G40">
        <v>1.964</v>
      </c>
      <c r="H40">
        <v>0.76300000000000001</v>
      </c>
      <c r="I40">
        <v>0.78100000000000003</v>
      </c>
      <c r="K40" s="11">
        <f t="shared" si="1"/>
        <v>81475.133224609599</v>
      </c>
      <c r="L40" s="11">
        <f t="shared" si="2"/>
        <v>86928.26389133271</v>
      </c>
      <c r="M40" s="11">
        <f t="shared" si="3"/>
        <v>91025.192968531206</v>
      </c>
      <c r="N40" s="11">
        <f t="shared" si="4"/>
        <v>92812.927758433172</v>
      </c>
      <c r="O40" s="11">
        <f t="shared" si="5"/>
        <v>93521.090397230015</v>
      </c>
      <c r="P40" s="11">
        <f t="shared" si="6"/>
        <v>94251.490113232387</v>
      </c>
    </row>
    <row r="41" spans="2:16" ht="22.5" x14ac:dyDescent="0.25">
      <c r="B41" s="7" t="s">
        <v>289</v>
      </c>
      <c r="C41" s="3">
        <v>294.89558</v>
      </c>
      <c r="K41" s="11">
        <f t="shared" si="1"/>
        <v>294.89558</v>
      </c>
      <c r="L41" s="11">
        <f t="shared" si="2"/>
        <v>294.89558</v>
      </c>
      <c r="M41" s="11">
        <f t="shared" si="3"/>
        <v>294.89558</v>
      </c>
      <c r="N41" s="11">
        <f t="shared" si="4"/>
        <v>294.89558</v>
      </c>
      <c r="O41" s="11">
        <f t="shared" si="5"/>
        <v>294.89558</v>
      </c>
      <c r="P41" s="11">
        <f t="shared" si="6"/>
        <v>294.89558</v>
      </c>
    </row>
    <row r="42" spans="2:16" ht="22.5" x14ac:dyDescent="0.25">
      <c r="B42" s="7" t="s">
        <v>302</v>
      </c>
      <c r="C42" s="5">
        <v>297409.03879800002</v>
      </c>
      <c r="D42">
        <v>5.673</v>
      </c>
      <c r="E42">
        <v>4.9089999999999998</v>
      </c>
      <c r="F42">
        <v>3.371</v>
      </c>
      <c r="G42">
        <v>2.9710000000000001</v>
      </c>
      <c r="H42">
        <v>2.9710000000000001</v>
      </c>
      <c r="I42">
        <v>3.0710000000000002</v>
      </c>
      <c r="K42" s="11">
        <f t="shared" si="1"/>
        <v>314281.05356901058</v>
      </c>
      <c r="L42" s="11">
        <f t="shared" si="2"/>
        <v>329709.11048871331</v>
      </c>
      <c r="M42" s="11">
        <f t="shared" si="3"/>
        <v>340823.60460328782</v>
      </c>
      <c r="N42" s="11">
        <f t="shared" si="4"/>
        <v>350949.47389605147</v>
      </c>
      <c r="O42" s="11">
        <f t="shared" si="5"/>
        <v>361376.18276550312</v>
      </c>
      <c r="P42" s="11">
        <f t="shared" si="6"/>
        <v>372474.04533823172</v>
      </c>
    </row>
    <row r="43" spans="2:16" ht="22.5" x14ac:dyDescent="0.25">
      <c r="B43" s="7" t="s">
        <v>328</v>
      </c>
      <c r="C43" s="3">
        <v>147989.596876</v>
      </c>
      <c r="D43">
        <v>4</v>
      </c>
      <c r="E43">
        <v>3.5</v>
      </c>
      <c r="F43">
        <v>3.7</v>
      </c>
      <c r="G43">
        <v>3.4</v>
      </c>
      <c r="H43">
        <v>3.1</v>
      </c>
      <c r="I43">
        <v>3</v>
      </c>
      <c r="K43" s="11">
        <f t="shared" si="1"/>
        <v>153909.18075104</v>
      </c>
      <c r="L43" s="11">
        <f t="shared" si="2"/>
        <v>159296.00207732638</v>
      </c>
      <c r="M43" s="11">
        <f t="shared" si="3"/>
        <v>165189.95415418744</v>
      </c>
      <c r="N43" s="11">
        <f t="shared" si="4"/>
        <v>170806.41259542981</v>
      </c>
      <c r="O43" s="11">
        <f t="shared" si="5"/>
        <v>176101.41138588812</v>
      </c>
      <c r="P43" s="11">
        <f t="shared" si="6"/>
        <v>181384.45372746477</v>
      </c>
    </row>
    <row r="44" spans="2:16" ht="22.5" x14ac:dyDescent="0.25">
      <c r="B44" s="7" t="s">
        <v>330</v>
      </c>
      <c r="C44" s="5">
        <v>290669.04032199999</v>
      </c>
      <c r="D44">
        <v>8.0980000000000008</v>
      </c>
      <c r="E44">
        <v>4.3630000000000004</v>
      </c>
      <c r="F44">
        <v>4.45</v>
      </c>
      <c r="G44">
        <v>4.46</v>
      </c>
      <c r="H44">
        <v>4.3499999999999996</v>
      </c>
      <c r="I44">
        <v>4.45</v>
      </c>
      <c r="K44" s="11">
        <f t="shared" si="1"/>
        <v>314207.41920727555</v>
      </c>
      <c r="L44" s="11">
        <f t="shared" si="2"/>
        <v>327916.28890728898</v>
      </c>
      <c r="M44" s="11">
        <f t="shared" si="3"/>
        <v>342508.56376366335</v>
      </c>
      <c r="N44" s="11">
        <f t="shared" si="4"/>
        <v>357784.44570752274</v>
      </c>
      <c r="O44" s="11">
        <f t="shared" si="5"/>
        <v>373348.06909579999</v>
      </c>
      <c r="P44" s="11">
        <f t="shared" si="6"/>
        <v>389962.05817056308</v>
      </c>
    </row>
    <row r="45" spans="2:16" ht="45" x14ac:dyDescent="0.25">
      <c r="B45" s="7" t="s">
        <v>334</v>
      </c>
      <c r="C45" s="3">
        <v>264758.43186999997</v>
      </c>
      <c r="D45">
        <v>3.7629999999999999</v>
      </c>
      <c r="E45">
        <v>3.0670000000000002</v>
      </c>
      <c r="F45">
        <v>1.843</v>
      </c>
      <c r="G45">
        <v>0.438</v>
      </c>
      <c r="H45">
        <v>0.17199999999999999</v>
      </c>
      <c r="I45">
        <v>8.6999999999999994E-2</v>
      </c>
      <c r="K45" s="11">
        <f t="shared" si="1"/>
        <v>274721.2916612681</v>
      </c>
      <c r="L45" s="11">
        <f t="shared" si="2"/>
        <v>283146.9936765192</v>
      </c>
      <c r="M45" s="11">
        <f t="shared" si="3"/>
        <v>288365.39276997745</v>
      </c>
      <c r="N45" s="11">
        <f t="shared" si="4"/>
        <v>289628.43319030997</v>
      </c>
      <c r="O45" s="11">
        <f t="shared" si="5"/>
        <v>290126.59409539727</v>
      </c>
      <c r="P45" s="11">
        <f t="shared" si="6"/>
        <v>290379.00423226022</v>
      </c>
    </row>
    <row r="46" spans="2:16" ht="33.75" x14ac:dyDescent="0.25">
      <c r="B46" s="7" t="s">
        <v>362</v>
      </c>
      <c r="C46" s="5">
        <v>640784.23864600004</v>
      </c>
      <c r="D46">
        <v>3.82</v>
      </c>
      <c r="E46">
        <v>10.977</v>
      </c>
      <c r="F46">
        <v>3.4550000000000001</v>
      </c>
      <c r="G46">
        <v>3.048</v>
      </c>
      <c r="H46">
        <v>2.8239999999999998</v>
      </c>
      <c r="I46">
        <v>2.823</v>
      </c>
      <c r="K46" s="11">
        <f t="shared" si="1"/>
        <v>665262.19656227727</v>
      </c>
      <c r="L46" s="11">
        <f t="shared" si="2"/>
        <v>738288.02787891845</v>
      </c>
      <c r="M46" s="11">
        <f t="shared" si="3"/>
        <v>763795.8792421351</v>
      </c>
      <c r="N46" s="11">
        <f t="shared" si="4"/>
        <v>787076.37764143536</v>
      </c>
      <c r="O46" s="11">
        <f t="shared" si="5"/>
        <v>809303.41454602953</v>
      </c>
      <c r="P46" s="11">
        <f t="shared" si="6"/>
        <v>832150.04993866396</v>
      </c>
    </row>
    <row r="47" spans="2:16" ht="22.5" x14ac:dyDescent="0.25">
      <c r="B47" s="7" t="s">
        <v>364</v>
      </c>
      <c r="C47" s="3">
        <v>2323812.4970789999</v>
      </c>
      <c r="D47">
        <v>8.0530000000000008</v>
      </c>
      <c r="E47">
        <v>6.5190000000000001</v>
      </c>
      <c r="F47">
        <v>3.3759999999999999</v>
      </c>
      <c r="G47">
        <v>3.395</v>
      </c>
      <c r="H47">
        <v>3.7410000000000001</v>
      </c>
      <c r="I47">
        <v>3.573</v>
      </c>
      <c r="K47" s="11">
        <f t="shared" si="1"/>
        <v>2510949.1174687715</v>
      </c>
      <c r="L47" s="11">
        <f t="shared" si="2"/>
        <v>2674637.8904365608</v>
      </c>
      <c r="M47" s="11">
        <f t="shared" si="3"/>
        <v>2764933.6656176993</v>
      </c>
      <c r="N47" s="11">
        <f t="shared" si="4"/>
        <v>2858803.1635654201</v>
      </c>
      <c r="O47" s="11">
        <f t="shared" si="5"/>
        <v>2965750.9899144024</v>
      </c>
      <c r="P47" s="11">
        <f t="shared" si="6"/>
        <v>3071717.272784044</v>
      </c>
    </row>
    <row r="48" spans="2:16" ht="22.5" x14ac:dyDescent="0.25">
      <c r="B48" s="7" t="s">
        <v>402</v>
      </c>
      <c r="C48" s="5">
        <v>71.473975999999993</v>
      </c>
      <c r="K48" s="11">
        <f t="shared" si="1"/>
        <v>71.473975999999993</v>
      </c>
      <c r="L48" s="11">
        <f t="shared" si="2"/>
        <v>71.473975999999993</v>
      </c>
      <c r="M48" s="11">
        <f t="shared" si="3"/>
        <v>71.473975999999993</v>
      </c>
      <c r="N48" s="11">
        <f t="shared" si="4"/>
        <v>71.473975999999993</v>
      </c>
      <c r="O48" s="11">
        <f t="shared" si="5"/>
        <v>71.473975999999993</v>
      </c>
      <c r="P48" s="11">
        <f t="shared" si="6"/>
        <v>71.473975999999993</v>
      </c>
    </row>
    <row r="49" spans="2:16" ht="67.5" x14ac:dyDescent="0.25">
      <c r="B49" s="6" t="s">
        <v>403</v>
      </c>
      <c r="C49" s="3">
        <v>6442902.1020069998</v>
      </c>
      <c r="K49" s="11">
        <f t="shared" si="1"/>
        <v>6442902.1020069998</v>
      </c>
      <c r="L49" s="11">
        <f t="shared" si="2"/>
        <v>6442902.1020069998</v>
      </c>
      <c r="M49" s="11">
        <f t="shared" si="3"/>
        <v>6442902.1020069998</v>
      </c>
      <c r="N49" s="11">
        <f t="shared" si="4"/>
        <v>6442902.1020069998</v>
      </c>
      <c r="O49" s="11">
        <f t="shared" si="5"/>
        <v>6442902.1020069998</v>
      </c>
      <c r="P49" s="11">
        <f t="shared" si="6"/>
        <v>6442902.1020069998</v>
      </c>
    </row>
    <row r="50" spans="2:16" ht="45" x14ac:dyDescent="0.25">
      <c r="B50" s="7" t="s">
        <v>404</v>
      </c>
      <c r="C50" s="5">
        <v>3266249.6499410002</v>
      </c>
      <c r="K50" s="11">
        <f t="shared" si="1"/>
        <v>3266249.6499410002</v>
      </c>
      <c r="L50" s="11">
        <f t="shared" si="2"/>
        <v>3266249.6499410002</v>
      </c>
      <c r="M50" s="11">
        <f t="shared" si="3"/>
        <v>3266249.6499410002</v>
      </c>
      <c r="N50" s="11">
        <f t="shared" si="4"/>
        <v>3266249.6499410002</v>
      </c>
      <c r="O50" s="11">
        <f t="shared" si="5"/>
        <v>3266249.6499410002</v>
      </c>
      <c r="P50" s="11">
        <f t="shared" si="6"/>
        <v>3266249.6499410002</v>
      </c>
    </row>
    <row r="51" spans="2:16" ht="45" x14ac:dyDescent="0.25">
      <c r="B51" s="8" t="s">
        <v>405</v>
      </c>
      <c r="C51" s="3">
        <v>173.69258300000001</v>
      </c>
      <c r="K51" s="11">
        <f t="shared" si="1"/>
        <v>173.69258300000001</v>
      </c>
      <c r="L51" s="11">
        <f t="shared" si="2"/>
        <v>173.69258300000001</v>
      </c>
      <c r="M51" s="11">
        <f t="shared" si="3"/>
        <v>173.69258300000001</v>
      </c>
      <c r="N51" s="11">
        <f t="shared" si="4"/>
        <v>173.69258300000001</v>
      </c>
      <c r="O51" s="11">
        <f t="shared" si="5"/>
        <v>173.69258300000001</v>
      </c>
      <c r="P51" s="11">
        <f t="shared" si="6"/>
        <v>173.69258300000001</v>
      </c>
    </row>
    <row r="52" spans="2:16" ht="22.5" x14ac:dyDescent="0.25">
      <c r="B52" s="8" t="s">
        <v>35</v>
      </c>
      <c r="C52" s="5">
        <v>50445.732313</v>
      </c>
      <c r="D52">
        <v>10.243</v>
      </c>
      <c r="E52">
        <v>3.5979999999999999</v>
      </c>
      <c r="F52">
        <v>6.45</v>
      </c>
      <c r="G52">
        <v>5.3449999999999998</v>
      </c>
      <c r="H52">
        <v>5.3849999999999998</v>
      </c>
      <c r="I52">
        <v>5.7969999999999997</v>
      </c>
      <c r="K52" s="11">
        <f t="shared" si="1"/>
        <v>55612.888673820591</v>
      </c>
      <c r="L52" s="11">
        <f t="shared" si="2"/>
        <v>57613.840408304648</v>
      </c>
      <c r="M52" s="11">
        <f t="shared" si="3"/>
        <v>61329.933114640298</v>
      </c>
      <c r="N52" s="11">
        <f t="shared" si="4"/>
        <v>64608.018039617826</v>
      </c>
      <c r="O52" s="11">
        <f t="shared" si="5"/>
        <v>68087.159811051242</v>
      </c>
      <c r="P52" s="11">
        <f t="shared" si="6"/>
        <v>72034.172465297888</v>
      </c>
    </row>
    <row r="53" spans="2:16" ht="22.5" x14ac:dyDescent="0.25">
      <c r="B53" s="8" t="s">
        <v>47</v>
      </c>
      <c r="C53" s="3">
        <v>774.44593599999996</v>
      </c>
      <c r="D53">
        <v>-16.356000000000002</v>
      </c>
      <c r="E53">
        <v>22.155999999999999</v>
      </c>
      <c r="F53">
        <v>12.268000000000001</v>
      </c>
      <c r="G53">
        <v>10.319000000000001</v>
      </c>
      <c r="H53">
        <v>16.774999999999999</v>
      </c>
      <c r="I53">
        <v>3.1680000000000001</v>
      </c>
      <c r="K53" s="11">
        <f t="shared" si="1"/>
        <v>647.77755870783994</v>
      </c>
      <c r="L53" s="11">
        <f t="shared" si="2"/>
        <v>791.29915461514895</v>
      </c>
      <c r="M53" s="11">
        <f t="shared" si="3"/>
        <v>888.37573490333534</v>
      </c>
      <c r="N53" s="11">
        <f t="shared" si="4"/>
        <v>980.04722698801061</v>
      </c>
      <c r="O53" s="11">
        <f t="shared" si="5"/>
        <v>1144.4501493152495</v>
      </c>
      <c r="P53" s="11">
        <f t="shared" si="6"/>
        <v>1180.7063300455566</v>
      </c>
    </row>
    <row r="54" spans="2:16" ht="45" x14ac:dyDescent="0.25">
      <c r="B54" s="8" t="s">
        <v>57</v>
      </c>
      <c r="C54" s="5">
        <v>3978.1556270000001</v>
      </c>
      <c r="D54">
        <v>23.495999999999999</v>
      </c>
      <c r="E54">
        <v>10.789</v>
      </c>
      <c r="F54">
        <v>1.8480000000000001</v>
      </c>
      <c r="G54">
        <v>2.1800000000000002</v>
      </c>
      <c r="H54">
        <v>3.8780000000000001</v>
      </c>
      <c r="I54">
        <v>1.5449999999999999</v>
      </c>
      <c r="K54" s="11">
        <f t="shared" si="1"/>
        <v>4912.86307311992</v>
      </c>
      <c r="L54" s="11">
        <f t="shared" si="2"/>
        <v>5442.9118700788285</v>
      </c>
      <c r="M54" s="11">
        <f t="shared" si="3"/>
        <v>5543.4968814378853</v>
      </c>
      <c r="N54" s="11">
        <f t="shared" si="4"/>
        <v>5664.3451134532315</v>
      </c>
      <c r="O54" s="11">
        <f t="shared" si="5"/>
        <v>5884.0084169529482</v>
      </c>
      <c r="P54" s="11">
        <f t="shared" si="6"/>
        <v>5974.9163469948708</v>
      </c>
    </row>
    <row r="55" spans="2:16" ht="22.5" x14ac:dyDescent="0.25">
      <c r="B55" s="8" t="s">
        <v>67</v>
      </c>
      <c r="C55" s="3">
        <v>27004.280955999999</v>
      </c>
      <c r="D55">
        <v>-6.4880000000000004</v>
      </c>
      <c r="E55">
        <v>10.702</v>
      </c>
      <c r="F55">
        <v>8.8249999999999993</v>
      </c>
      <c r="G55">
        <v>7.8940000000000001</v>
      </c>
      <c r="H55">
        <v>8.6229999999999993</v>
      </c>
      <c r="I55">
        <v>6.7389999999999999</v>
      </c>
      <c r="K55" s="11">
        <f t="shared" si="1"/>
        <v>25252.243207574717</v>
      </c>
      <c r="L55" s="11">
        <f t="shared" si="2"/>
        <v>27954.738275649361</v>
      </c>
      <c r="M55" s="11">
        <f t="shared" si="3"/>
        <v>30421.743928475415</v>
      </c>
      <c r="N55" s="11">
        <f t="shared" si="4"/>
        <v>32823.236394189262</v>
      </c>
      <c r="O55" s="11">
        <f t="shared" si="5"/>
        <v>35653.584068460201</v>
      </c>
      <c r="P55" s="11">
        <f t="shared" si="6"/>
        <v>38056.279098833736</v>
      </c>
    </row>
    <row r="56" spans="2:16" x14ac:dyDescent="0.25">
      <c r="B56" s="8" t="s">
        <v>79</v>
      </c>
      <c r="C56" s="5">
        <v>1802664.709491</v>
      </c>
      <c r="D56">
        <v>19.809000000000001</v>
      </c>
      <c r="E56">
        <v>4.6509999999999998</v>
      </c>
      <c r="F56">
        <v>5.0590000000000002</v>
      </c>
      <c r="G56">
        <v>3.7090000000000001</v>
      </c>
      <c r="H56">
        <v>3.7080000000000002</v>
      </c>
      <c r="I56">
        <v>3.7069999999999999</v>
      </c>
      <c r="K56" s="11">
        <f t="shared" si="1"/>
        <v>2159754.5617940724</v>
      </c>
      <c r="L56" s="11">
        <f t="shared" si="2"/>
        <v>2260204.7464631149</v>
      </c>
      <c r="M56" s="11">
        <f t="shared" si="3"/>
        <v>2374548.5045866836</v>
      </c>
      <c r="N56" s="11">
        <f t="shared" si="4"/>
        <v>2462620.508621804</v>
      </c>
      <c r="O56" s="11">
        <f t="shared" si="5"/>
        <v>2553934.4770815005</v>
      </c>
      <c r="P56" s="11">
        <f t="shared" si="6"/>
        <v>2648608.8281469117</v>
      </c>
    </row>
    <row r="57" spans="2:16" x14ac:dyDescent="0.25">
      <c r="B57" s="8" t="s">
        <v>123</v>
      </c>
      <c r="C57" s="3">
        <v>1525.948862</v>
      </c>
      <c r="K57" s="11">
        <f t="shared" si="1"/>
        <v>1525.948862</v>
      </c>
      <c r="L57" s="11">
        <f t="shared" si="2"/>
        <v>1525.948862</v>
      </c>
      <c r="M57" s="11">
        <f t="shared" si="3"/>
        <v>1525.948862</v>
      </c>
      <c r="N57" s="11">
        <f t="shared" si="4"/>
        <v>1525.948862</v>
      </c>
      <c r="O57" s="11">
        <f t="shared" si="5"/>
        <v>1525.948862</v>
      </c>
      <c r="P57" s="11">
        <f t="shared" si="6"/>
        <v>1525.948862</v>
      </c>
    </row>
    <row r="58" spans="2:16" ht="45" x14ac:dyDescent="0.25">
      <c r="B58" s="8" t="s">
        <v>408</v>
      </c>
      <c r="C58" s="5">
        <v>1359.2776289999999</v>
      </c>
      <c r="K58" s="11">
        <f t="shared" si="1"/>
        <v>1359.2776289999999</v>
      </c>
      <c r="L58" s="11">
        <f t="shared" si="2"/>
        <v>1359.2776289999999</v>
      </c>
      <c r="M58" s="11">
        <f t="shared" si="3"/>
        <v>1359.2776289999999</v>
      </c>
      <c r="N58" s="11">
        <f t="shared" si="4"/>
        <v>1359.2776289999999</v>
      </c>
      <c r="O58" s="11">
        <f t="shared" si="5"/>
        <v>1359.2776289999999</v>
      </c>
      <c r="P58" s="11">
        <f t="shared" si="6"/>
        <v>1359.2776289999999</v>
      </c>
    </row>
    <row r="59" spans="2:16" x14ac:dyDescent="0.25">
      <c r="B59" s="8" t="s">
        <v>409</v>
      </c>
      <c r="C59" s="3">
        <v>2114.7185209999998</v>
      </c>
      <c r="K59" s="11">
        <f t="shared" si="1"/>
        <v>2114.7185209999998</v>
      </c>
      <c r="L59" s="11">
        <f t="shared" si="2"/>
        <v>2114.7185209999998</v>
      </c>
      <c r="M59" s="11">
        <f t="shared" si="3"/>
        <v>2114.7185209999998</v>
      </c>
      <c r="N59" s="11">
        <f t="shared" si="4"/>
        <v>2114.7185209999998</v>
      </c>
      <c r="O59" s="11">
        <f t="shared" si="5"/>
        <v>2114.7185209999998</v>
      </c>
      <c r="P59" s="11">
        <f t="shared" si="6"/>
        <v>2114.7185209999998</v>
      </c>
    </row>
    <row r="60" spans="2:16" x14ac:dyDescent="0.25">
      <c r="B60" s="8" t="s">
        <v>160</v>
      </c>
      <c r="C60" s="5">
        <v>353434.79324000003</v>
      </c>
      <c r="D60">
        <v>6.5</v>
      </c>
      <c r="E60">
        <v>5.8</v>
      </c>
      <c r="F60">
        <v>6</v>
      </c>
      <c r="G60">
        <v>6</v>
      </c>
      <c r="H60">
        <v>6</v>
      </c>
      <c r="I60">
        <v>6</v>
      </c>
      <c r="K60" s="11">
        <f t="shared" si="1"/>
        <v>376408.05480059999</v>
      </c>
      <c r="L60" s="11">
        <f t="shared" si="2"/>
        <v>398239.72197903483</v>
      </c>
      <c r="M60" s="11">
        <f t="shared" si="3"/>
        <v>422134.10529777693</v>
      </c>
      <c r="N60" s="11">
        <f t="shared" si="4"/>
        <v>447462.15161564358</v>
      </c>
      <c r="O60" s="11">
        <f t="shared" si="5"/>
        <v>474309.88071258221</v>
      </c>
      <c r="P60" s="11">
        <f t="shared" si="6"/>
        <v>502768.47355533717</v>
      </c>
    </row>
    <row r="61" spans="2:16" ht="22.5" x14ac:dyDescent="0.25">
      <c r="B61" s="8" t="s">
        <v>162</v>
      </c>
      <c r="C61" s="3">
        <v>142686.74149700001</v>
      </c>
      <c r="D61">
        <v>8.8930000000000007</v>
      </c>
      <c r="E61">
        <v>5.681</v>
      </c>
      <c r="F61">
        <v>5.4960000000000004</v>
      </c>
      <c r="G61">
        <v>7.6239999999999997</v>
      </c>
      <c r="H61">
        <v>8.7170000000000005</v>
      </c>
      <c r="I61">
        <v>8.3689999999999998</v>
      </c>
      <c r="K61" s="11">
        <f t="shared" si="1"/>
        <v>155375.87341832821</v>
      </c>
      <c r="L61" s="11">
        <f t="shared" si="2"/>
        <v>164202.77678722344</v>
      </c>
      <c r="M61" s="11">
        <f t="shared" si="3"/>
        <v>173227.36139944923</v>
      </c>
      <c r="N61" s="11">
        <f t="shared" si="4"/>
        <v>186434.21543254325</v>
      </c>
      <c r="O61" s="11">
        <f t="shared" si="5"/>
        <v>202685.68599179803</v>
      </c>
      <c r="P61" s="11">
        <f t="shared" si="6"/>
        <v>219648.45105245162</v>
      </c>
    </row>
    <row r="62" spans="2:16" ht="22.5" x14ac:dyDescent="0.25">
      <c r="B62" s="8" t="s">
        <v>183</v>
      </c>
      <c r="C62" s="5">
        <v>138.300005</v>
      </c>
      <c r="D62">
        <v>44.414000000000001</v>
      </c>
      <c r="E62">
        <v>30.545000000000002</v>
      </c>
      <c r="F62">
        <v>31.306999999999999</v>
      </c>
      <c r="G62">
        <v>17.663</v>
      </c>
      <c r="H62">
        <v>7.8150000000000004</v>
      </c>
      <c r="I62">
        <v>4.1440000000000001</v>
      </c>
      <c r="K62" s="11">
        <f t="shared" si="1"/>
        <v>199.7245692207</v>
      </c>
      <c r="L62" s="11">
        <f t="shared" si="2"/>
        <v>260.73043888916283</v>
      </c>
      <c r="M62" s="11">
        <f t="shared" si="3"/>
        <v>342.35731739219301</v>
      </c>
      <c r="N62" s="11">
        <f t="shared" si="4"/>
        <v>402.8278903631761</v>
      </c>
      <c r="O62" s="11">
        <f t="shared" si="5"/>
        <v>434.30888999505828</v>
      </c>
      <c r="P62" s="11">
        <f t="shared" si="6"/>
        <v>452.30665039645345</v>
      </c>
    </row>
    <row r="63" spans="2:16" ht="22.5" x14ac:dyDescent="0.25">
      <c r="B63" s="8" t="s">
        <v>193</v>
      </c>
      <c r="C63" s="3">
        <v>6061.9409310000001</v>
      </c>
      <c r="D63">
        <v>-18.962</v>
      </c>
      <c r="E63">
        <v>5.2270000000000003</v>
      </c>
      <c r="F63">
        <v>4.4740000000000002</v>
      </c>
      <c r="G63">
        <v>2.601</v>
      </c>
      <c r="H63">
        <v>7.1580000000000004</v>
      </c>
      <c r="I63">
        <v>6.7629999999999999</v>
      </c>
      <c r="K63" s="11">
        <f t="shared" si="1"/>
        <v>4912.4756916637798</v>
      </c>
      <c r="L63" s="11">
        <f t="shared" si="2"/>
        <v>5169.2507960670455</v>
      </c>
      <c r="M63" s="11">
        <f t="shared" si="3"/>
        <v>5400.5230766830855</v>
      </c>
      <c r="N63" s="11">
        <f t="shared" si="4"/>
        <v>5540.9906819076132</v>
      </c>
      <c r="O63" s="11">
        <f t="shared" si="5"/>
        <v>5937.6147949185597</v>
      </c>
      <c r="P63" s="11">
        <f t="shared" si="6"/>
        <v>6339.1756834989028</v>
      </c>
    </row>
    <row r="64" spans="2:16" ht="22.5" x14ac:dyDescent="0.25">
      <c r="B64" s="8" t="s">
        <v>213</v>
      </c>
      <c r="C64" s="5">
        <v>199751.773392</v>
      </c>
      <c r="D64">
        <v>8.5280000000000005</v>
      </c>
      <c r="E64">
        <v>1.621</v>
      </c>
      <c r="F64">
        <v>3.968</v>
      </c>
      <c r="G64">
        <v>3.6789999999999998</v>
      </c>
      <c r="H64">
        <v>3.637</v>
      </c>
      <c r="I64">
        <v>3.5840000000000001</v>
      </c>
      <c r="K64" s="11">
        <f t="shared" si="1"/>
        <v>216786.60462686975</v>
      </c>
      <c r="L64" s="11">
        <f t="shared" si="2"/>
        <v>220300.71548787132</v>
      </c>
      <c r="M64" s="11">
        <f t="shared" si="3"/>
        <v>229042.24787843003</v>
      </c>
      <c r="N64" s="11">
        <f t="shared" si="4"/>
        <v>237468.71217787749</v>
      </c>
      <c r="O64" s="11">
        <f t="shared" si="5"/>
        <v>246105.44923978689</v>
      </c>
      <c r="P64" s="11">
        <f t="shared" si="6"/>
        <v>254925.86854054086</v>
      </c>
    </row>
    <row r="65" spans="2:16" ht="22.5" x14ac:dyDescent="0.25">
      <c r="B65" s="8" t="s">
        <v>215</v>
      </c>
      <c r="C65" s="3">
        <v>1416.4338069999999</v>
      </c>
      <c r="D65">
        <v>14.827</v>
      </c>
      <c r="E65">
        <v>8.2720000000000002</v>
      </c>
      <c r="F65">
        <v>3.109</v>
      </c>
      <c r="G65">
        <v>-2.5510000000000002</v>
      </c>
      <c r="H65">
        <v>4.633</v>
      </c>
      <c r="I65">
        <v>4.3179999999999996</v>
      </c>
      <c r="K65" s="11">
        <f t="shared" si="1"/>
        <v>1626.4484475638901</v>
      </c>
      <c r="L65" s="11">
        <f t="shared" si="2"/>
        <v>1760.9882631463749</v>
      </c>
      <c r="M65" s="11">
        <f t="shared" si="3"/>
        <v>1815.7373882475958</v>
      </c>
      <c r="N65" s="11">
        <f t="shared" si="4"/>
        <v>1769.4179274733997</v>
      </c>
      <c r="O65" s="11">
        <f t="shared" si="5"/>
        <v>1851.3950600532423</v>
      </c>
      <c r="P65" s="11">
        <f t="shared" si="6"/>
        <v>1931.3382987463413</v>
      </c>
    </row>
    <row r="66" spans="2:16" ht="67.5" x14ac:dyDescent="0.25">
      <c r="B66" s="8" t="s">
        <v>411</v>
      </c>
      <c r="C66" s="5">
        <v>12706.337925</v>
      </c>
      <c r="K66" s="11">
        <f t="shared" si="1"/>
        <v>12706.337925</v>
      </c>
      <c r="L66" s="11">
        <f t="shared" si="2"/>
        <v>12706.337925</v>
      </c>
      <c r="M66" s="11">
        <f t="shared" si="3"/>
        <v>12706.337925</v>
      </c>
      <c r="N66" s="11">
        <f t="shared" si="4"/>
        <v>12706.337925</v>
      </c>
      <c r="O66" s="11">
        <f t="shared" si="5"/>
        <v>12706.337925</v>
      </c>
      <c r="P66" s="11">
        <f t="shared" si="6"/>
        <v>12706.337925</v>
      </c>
    </row>
    <row r="67" spans="2:16" ht="67.5" x14ac:dyDescent="0.25">
      <c r="B67" s="8" t="s">
        <v>412</v>
      </c>
      <c r="C67" s="3">
        <v>251.359589</v>
      </c>
      <c r="K67" s="11">
        <f t="shared" si="1"/>
        <v>251.359589</v>
      </c>
      <c r="L67" s="11">
        <f t="shared" si="2"/>
        <v>251.359589</v>
      </c>
      <c r="M67" s="11">
        <f t="shared" si="3"/>
        <v>251.359589</v>
      </c>
      <c r="N67" s="11">
        <f t="shared" si="4"/>
        <v>251.359589</v>
      </c>
      <c r="O67" s="11">
        <f t="shared" si="5"/>
        <v>251.359589</v>
      </c>
      <c r="P67" s="11">
        <f t="shared" si="6"/>
        <v>251.359589</v>
      </c>
    </row>
    <row r="68" spans="2:16" ht="22.5" x14ac:dyDescent="0.25">
      <c r="B68" s="8" t="s">
        <v>231</v>
      </c>
      <c r="C68" s="5">
        <v>4616.5250720000004</v>
      </c>
      <c r="D68">
        <v>-5.7039999999999997</v>
      </c>
      <c r="E68">
        <v>12.09</v>
      </c>
      <c r="F68">
        <v>12.808</v>
      </c>
      <c r="G68">
        <v>7.9960000000000004</v>
      </c>
      <c r="H68">
        <v>4.8650000000000002</v>
      </c>
      <c r="I68">
        <v>4.048</v>
      </c>
      <c r="K68" s="11">
        <f t="shared" si="1"/>
        <v>4353.1984818931205</v>
      </c>
      <c r="L68" s="11">
        <f t="shared" si="2"/>
        <v>4879.5001783539992</v>
      </c>
      <c r="M68" s="11">
        <f t="shared" si="3"/>
        <v>5504.4665611975797</v>
      </c>
      <c r="N68" s="11">
        <f t="shared" si="4"/>
        <v>5944.6037074309388</v>
      </c>
      <c r="O68" s="11">
        <f t="shared" si="5"/>
        <v>6233.808677797454</v>
      </c>
      <c r="P68" s="11">
        <f t="shared" si="6"/>
        <v>6486.1532530746954</v>
      </c>
    </row>
    <row r="69" spans="2:16" ht="22.5" x14ac:dyDescent="0.25">
      <c r="B69" s="8" t="s">
        <v>239</v>
      </c>
      <c r="C69" s="3">
        <v>27199.669484999999</v>
      </c>
      <c r="D69">
        <v>-19.888999999999999</v>
      </c>
      <c r="E69">
        <v>5.343</v>
      </c>
      <c r="F69">
        <v>5.75</v>
      </c>
      <c r="G69">
        <v>1.1919999999999999</v>
      </c>
      <c r="H69">
        <v>5.0650000000000004</v>
      </c>
      <c r="I69">
        <v>-4.1879999999999997</v>
      </c>
      <c r="K69" s="11">
        <f t="shared" si="1"/>
        <v>21789.92722112835</v>
      </c>
      <c r="L69" s="11">
        <f t="shared" si="2"/>
        <v>22954.163032553239</v>
      </c>
      <c r="M69" s="11">
        <f t="shared" si="3"/>
        <v>24274.027406925052</v>
      </c>
      <c r="N69" s="11">
        <f t="shared" si="4"/>
        <v>24563.373813615595</v>
      </c>
      <c r="O69" s="11">
        <f t="shared" si="5"/>
        <v>25807.508697275229</v>
      </c>
      <c r="P69" s="11">
        <f t="shared" si="6"/>
        <v>24726.690233033343</v>
      </c>
    </row>
    <row r="70" spans="2:16" ht="33.75" x14ac:dyDescent="0.25">
      <c r="B70" s="8" t="s">
        <v>413</v>
      </c>
      <c r="C70" s="5">
        <v>59.932715999999999</v>
      </c>
      <c r="K70" s="11">
        <f t="shared" ref="K70:K133" si="7">C70*(1+D70/100)</f>
        <v>59.932715999999999</v>
      </c>
      <c r="L70" s="11">
        <f t="shared" ref="L70:L133" si="8">K70*(1+E70/100)</f>
        <v>59.932715999999999</v>
      </c>
      <c r="M70" s="11">
        <f t="shared" ref="M70:M133" si="9">L70*(1+F70/100)</f>
        <v>59.932715999999999</v>
      </c>
      <c r="N70" s="11">
        <f t="shared" ref="N70:N133" si="10">M70*(1+G70/100)</f>
        <v>59.932715999999999</v>
      </c>
      <c r="O70" s="11">
        <f t="shared" ref="O70:O133" si="11">N70*(1+H70/100)</f>
        <v>59.932715999999999</v>
      </c>
      <c r="P70" s="11">
        <f t="shared" ref="P70:P133" si="12">O70*(1+I70/100)</f>
        <v>59.932715999999999</v>
      </c>
    </row>
    <row r="71" spans="2:16" x14ac:dyDescent="0.25">
      <c r="B71" s="8" t="s">
        <v>244</v>
      </c>
      <c r="C71" s="3">
        <v>8253.3403450000005</v>
      </c>
      <c r="K71" s="11">
        <f t="shared" si="7"/>
        <v>8253.3403450000005</v>
      </c>
      <c r="L71" s="11">
        <f t="shared" si="8"/>
        <v>8253.3403450000005</v>
      </c>
      <c r="M71" s="11">
        <f t="shared" si="9"/>
        <v>8253.3403450000005</v>
      </c>
      <c r="N71" s="11">
        <f t="shared" si="10"/>
        <v>8253.3403450000005</v>
      </c>
      <c r="O71" s="11">
        <f t="shared" si="11"/>
        <v>8253.3403450000005</v>
      </c>
      <c r="P71" s="11">
        <f t="shared" si="12"/>
        <v>8253.3403450000005</v>
      </c>
    </row>
    <row r="72" spans="2:16" ht="33.75" x14ac:dyDescent="0.25">
      <c r="B72" s="8" t="s">
        <v>414</v>
      </c>
      <c r="C72" s="5">
        <v>2139.3531670000002</v>
      </c>
      <c r="K72" s="11">
        <f t="shared" si="7"/>
        <v>2139.3531670000002</v>
      </c>
      <c r="L72" s="11">
        <f t="shared" si="8"/>
        <v>2139.3531670000002</v>
      </c>
      <c r="M72" s="11">
        <f t="shared" si="9"/>
        <v>2139.3531670000002</v>
      </c>
      <c r="N72" s="11">
        <f t="shared" si="10"/>
        <v>2139.3531670000002</v>
      </c>
      <c r="O72" s="11">
        <f t="shared" si="11"/>
        <v>2139.3531670000002</v>
      </c>
      <c r="P72" s="11">
        <f t="shared" si="12"/>
        <v>2139.3531670000002</v>
      </c>
    </row>
    <row r="73" spans="2:16" ht="33.75" x14ac:dyDescent="0.25">
      <c r="B73" s="8" t="s">
        <v>415</v>
      </c>
      <c r="C73" s="3">
        <v>102.76406799999999</v>
      </c>
      <c r="K73" s="11">
        <f t="shared" si="7"/>
        <v>102.76406799999999</v>
      </c>
      <c r="L73" s="11">
        <f t="shared" si="8"/>
        <v>102.76406799999999</v>
      </c>
      <c r="M73" s="11">
        <f t="shared" si="9"/>
        <v>102.76406799999999</v>
      </c>
      <c r="N73" s="11">
        <f t="shared" si="10"/>
        <v>102.76406799999999</v>
      </c>
      <c r="O73" s="11">
        <f t="shared" si="11"/>
        <v>102.76406799999999</v>
      </c>
      <c r="P73" s="11">
        <f t="shared" si="12"/>
        <v>102.76406799999999</v>
      </c>
    </row>
    <row r="74" spans="2:16" ht="45" x14ac:dyDescent="0.25">
      <c r="B74" s="8" t="s">
        <v>267</v>
      </c>
      <c r="C74" s="5">
        <v>4159.7083910000001</v>
      </c>
      <c r="D74">
        <v>7.843</v>
      </c>
      <c r="E74">
        <v>1.4219999999999999</v>
      </c>
      <c r="F74">
        <v>1.2689999999999999</v>
      </c>
      <c r="G74">
        <v>0.88700000000000001</v>
      </c>
      <c r="H74">
        <v>2.06</v>
      </c>
      <c r="I74">
        <v>0.6</v>
      </c>
      <c r="K74" s="11">
        <f t="shared" si="7"/>
        <v>4485.9543201061306</v>
      </c>
      <c r="L74" s="11">
        <f t="shared" si="8"/>
        <v>4549.7445905380391</v>
      </c>
      <c r="M74" s="11">
        <f t="shared" si="9"/>
        <v>4607.4808493919672</v>
      </c>
      <c r="N74" s="11">
        <f t="shared" si="10"/>
        <v>4648.3492045260737</v>
      </c>
      <c r="O74" s="11">
        <f t="shared" si="11"/>
        <v>4744.1051981393102</v>
      </c>
      <c r="P74" s="11">
        <f t="shared" si="12"/>
        <v>4772.5698293281457</v>
      </c>
    </row>
    <row r="75" spans="2:16" ht="22.5" x14ac:dyDescent="0.25">
      <c r="B75" s="8" t="s">
        <v>273</v>
      </c>
      <c r="C75" s="3">
        <v>122513.45544000001</v>
      </c>
      <c r="D75">
        <v>11.512</v>
      </c>
      <c r="E75">
        <v>13.53</v>
      </c>
      <c r="F75">
        <v>8.8019999999999996</v>
      </c>
      <c r="G75">
        <v>11.664999999999999</v>
      </c>
      <c r="H75">
        <v>10.64</v>
      </c>
      <c r="I75">
        <v>9.3480000000000008</v>
      </c>
      <c r="K75" s="11">
        <f t="shared" si="7"/>
        <v>136617.20443025281</v>
      </c>
      <c r="L75" s="11">
        <f t="shared" si="8"/>
        <v>155101.51218966601</v>
      </c>
      <c r="M75" s="11">
        <f t="shared" si="9"/>
        <v>168753.54729260041</v>
      </c>
      <c r="N75" s="11">
        <f t="shared" si="10"/>
        <v>188438.64858428223</v>
      </c>
      <c r="O75" s="11">
        <f t="shared" si="11"/>
        <v>208488.52079364986</v>
      </c>
      <c r="P75" s="11">
        <f t="shared" si="12"/>
        <v>227978.02771744024</v>
      </c>
    </row>
    <row r="76" spans="2:16" ht="22.5" x14ac:dyDescent="0.25">
      <c r="B76" s="8" t="s">
        <v>288</v>
      </c>
      <c r="C76" s="5">
        <v>807.58540100000005</v>
      </c>
      <c r="K76" s="11">
        <f t="shared" si="7"/>
        <v>807.58540100000005</v>
      </c>
      <c r="L76" s="11">
        <f t="shared" si="8"/>
        <v>807.58540100000005</v>
      </c>
      <c r="M76" s="11">
        <f t="shared" si="9"/>
        <v>807.58540100000005</v>
      </c>
      <c r="N76" s="11">
        <f t="shared" si="10"/>
        <v>807.58540100000005</v>
      </c>
      <c r="O76" s="11">
        <f t="shared" si="11"/>
        <v>807.58540100000005</v>
      </c>
      <c r="P76" s="11">
        <f t="shared" si="12"/>
        <v>807.58540100000005</v>
      </c>
    </row>
    <row r="77" spans="2:16" ht="45" x14ac:dyDescent="0.25">
      <c r="B77" s="8" t="s">
        <v>308</v>
      </c>
      <c r="C77" s="3">
        <v>393.27912199999997</v>
      </c>
      <c r="D77">
        <v>2.7320000000000002</v>
      </c>
      <c r="E77">
        <v>4.46</v>
      </c>
      <c r="F77">
        <v>10.715999999999999</v>
      </c>
      <c r="G77">
        <v>5.9509999999999996</v>
      </c>
      <c r="H77">
        <v>5.0730000000000004</v>
      </c>
      <c r="I77">
        <v>4.9859999999999998</v>
      </c>
      <c r="K77" s="11">
        <f t="shared" si="7"/>
        <v>404.02350761303995</v>
      </c>
      <c r="L77" s="11">
        <f t="shared" si="8"/>
        <v>422.04295605258153</v>
      </c>
      <c r="M77" s="11">
        <f t="shared" si="9"/>
        <v>467.26907922317611</v>
      </c>
      <c r="N77" s="11">
        <f t="shared" si="10"/>
        <v>495.07626212774727</v>
      </c>
      <c r="O77" s="11">
        <f t="shared" si="11"/>
        <v>520.19148090548788</v>
      </c>
      <c r="P77" s="11">
        <f t="shared" si="12"/>
        <v>546.12822814343554</v>
      </c>
    </row>
    <row r="78" spans="2:16" ht="22.5" x14ac:dyDescent="0.25">
      <c r="B78" s="8" t="s">
        <v>316</v>
      </c>
      <c r="C78" s="5">
        <v>15458.966611</v>
      </c>
      <c r="D78">
        <v>9.0169999999999995</v>
      </c>
      <c r="E78">
        <v>21.956</v>
      </c>
      <c r="F78">
        <v>10.666</v>
      </c>
      <c r="G78">
        <v>6.8620000000000001</v>
      </c>
      <c r="H78">
        <v>4.6210000000000004</v>
      </c>
      <c r="I78">
        <v>4.798</v>
      </c>
      <c r="K78" s="11">
        <f t="shared" si="7"/>
        <v>16852.901630313871</v>
      </c>
      <c r="L78" s="11">
        <f t="shared" si="8"/>
        <v>20553.124712265584</v>
      </c>
      <c r="M78" s="11">
        <f t="shared" si="9"/>
        <v>22745.320994075832</v>
      </c>
      <c r="N78" s="11">
        <f t="shared" si="10"/>
        <v>24306.104920689311</v>
      </c>
      <c r="O78" s="11">
        <f t="shared" si="11"/>
        <v>25429.290029074367</v>
      </c>
      <c r="P78" s="11">
        <f t="shared" si="12"/>
        <v>26649.387364669354</v>
      </c>
    </row>
    <row r="79" spans="2:16" ht="22.5" x14ac:dyDescent="0.25">
      <c r="B79" s="8" t="s">
        <v>340</v>
      </c>
      <c r="C79" s="3">
        <v>192524.32896099999</v>
      </c>
      <c r="D79">
        <v>19.949000000000002</v>
      </c>
      <c r="E79">
        <v>5.7270000000000003</v>
      </c>
      <c r="F79">
        <v>1.655</v>
      </c>
      <c r="G79">
        <v>4.1639999999999997</v>
      </c>
      <c r="H79">
        <v>3.9940000000000002</v>
      </c>
      <c r="I79">
        <v>3.9289999999999998</v>
      </c>
      <c r="K79" s="11">
        <f t="shared" si="7"/>
        <v>230931.00734542988</v>
      </c>
      <c r="L79" s="11">
        <f t="shared" si="8"/>
        <v>244156.42613610264</v>
      </c>
      <c r="M79" s="11">
        <f t="shared" si="9"/>
        <v>248197.21498865515</v>
      </c>
      <c r="N79" s="11">
        <f t="shared" si="10"/>
        <v>258532.14702078272</v>
      </c>
      <c r="O79" s="11">
        <f t="shared" si="11"/>
        <v>268857.92097279278</v>
      </c>
      <c r="P79" s="11">
        <f t="shared" si="12"/>
        <v>279421.34868781385</v>
      </c>
    </row>
    <row r="80" spans="2:16" ht="56.25" x14ac:dyDescent="0.25">
      <c r="B80" s="8" t="s">
        <v>416</v>
      </c>
      <c r="C80" s="5">
        <v>932.20217200000002</v>
      </c>
      <c r="K80" s="11">
        <f t="shared" si="7"/>
        <v>932.20217200000002</v>
      </c>
      <c r="L80" s="11">
        <f t="shared" si="8"/>
        <v>932.20217200000002</v>
      </c>
      <c r="M80" s="11">
        <f t="shared" si="9"/>
        <v>932.20217200000002</v>
      </c>
      <c r="N80" s="11">
        <f t="shared" si="10"/>
        <v>932.20217200000002</v>
      </c>
      <c r="O80" s="11">
        <f t="shared" si="11"/>
        <v>932.20217200000002</v>
      </c>
      <c r="P80" s="11">
        <f t="shared" si="12"/>
        <v>932.20217200000002</v>
      </c>
    </row>
    <row r="81" spans="2:16" x14ac:dyDescent="0.25">
      <c r="B81" s="8" t="s">
        <v>345</v>
      </c>
      <c r="C81" s="3">
        <v>201.56322800000001</v>
      </c>
      <c r="D81" t="s">
        <v>10</v>
      </c>
      <c r="E81" t="s">
        <v>10</v>
      </c>
      <c r="F81" t="s">
        <v>10</v>
      </c>
      <c r="G81" t="s">
        <v>10</v>
      </c>
      <c r="H81" t="s">
        <v>10</v>
      </c>
      <c r="I81" t="s">
        <v>10</v>
      </c>
      <c r="K81" s="11" t="e">
        <f t="shared" si="7"/>
        <v>#VALUE!</v>
      </c>
      <c r="L81" s="11" t="e">
        <f t="shared" si="8"/>
        <v>#VALUE!</v>
      </c>
      <c r="M81" s="11" t="e">
        <f t="shared" si="9"/>
        <v>#VALUE!</v>
      </c>
      <c r="N81" s="11" t="e">
        <f t="shared" si="10"/>
        <v>#VALUE!</v>
      </c>
      <c r="O81" s="11" t="e">
        <f t="shared" si="11"/>
        <v>#VALUE!</v>
      </c>
      <c r="P81" s="11" t="e">
        <f t="shared" si="12"/>
        <v>#VALUE!</v>
      </c>
    </row>
    <row r="82" spans="2:16" ht="22.5" x14ac:dyDescent="0.25">
      <c r="B82" s="8" t="s">
        <v>355</v>
      </c>
      <c r="C82" s="5">
        <v>79.381489999999999</v>
      </c>
      <c r="K82" s="11">
        <f t="shared" si="7"/>
        <v>79.381489999999999</v>
      </c>
      <c r="L82" s="11">
        <f t="shared" si="8"/>
        <v>79.381489999999999</v>
      </c>
      <c r="M82" s="11">
        <f t="shared" si="9"/>
        <v>79.381489999999999</v>
      </c>
      <c r="N82" s="11">
        <f t="shared" si="10"/>
        <v>79.381489999999999</v>
      </c>
      <c r="O82" s="11">
        <f t="shared" si="11"/>
        <v>79.381489999999999</v>
      </c>
      <c r="P82" s="11">
        <f t="shared" si="12"/>
        <v>79.381489999999999</v>
      </c>
    </row>
    <row r="83" spans="2:16" ht="22.5" x14ac:dyDescent="0.25">
      <c r="B83" s="8" t="s">
        <v>370</v>
      </c>
      <c r="C83" s="3">
        <v>305.31863800000002</v>
      </c>
      <c r="K83" s="11">
        <f t="shared" si="7"/>
        <v>305.31863800000002</v>
      </c>
      <c r="L83" s="11">
        <f t="shared" si="8"/>
        <v>305.31863800000002</v>
      </c>
      <c r="M83" s="11">
        <f t="shared" si="9"/>
        <v>305.31863800000002</v>
      </c>
      <c r="N83" s="11">
        <f t="shared" si="10"/>
        <v>305.31863800000002</v>
      </c>
      <c r="O83" s="11">
        <f t="shared" si="11"/>
        <v>305.31863800000002</v>
      </c>
      <c r="P83" s="11">
        <f t="shared" si="12"/>
        <v>305.31863800000002</v>
      </c>
    </row>
    <row r="84" spans="2:16" ht="22.5" x14ac:dyDescent="0.25">
      <c r="B84" s="8" t="s">
        <v>373</v>
      </c>
      <c r="C84" s="5">
        <v>277027.00228999997</v>
      </c>
      <c r="D84">
        <v>-0.34200000000000003</v>
      </c>
      <c r="E84">
        <v>10.19</v>
      </c>
      <c r="F84">
        <v>6.64</v>
      </c>
      <c r="G84">
        <v>7.181</v>
      </c>
      <c r="H84">
        <v>8.0039999999999996</v>
      </c>
      <c r="I84">
        <v>8.8409999999999993</v>
      </c>
      <c r="K84" s="11">
        <f t="shared" si="7"/>
        <v>276079.56994216819</v>
      </c>
      <c r="L84" s="11">
        <f t="shared" si="8"/>
        <v>304212.07811927516</v>
      </c>
      <c r="M84" s="11">
        <f t="shared" si="9"/>
        <v>324411.76010639506</v>
      </c>
      <c r="N84" s="11">
        <f t="shared" si="10"/>
        <v>347707.76859963528</v>
      </c>
      <c r="O84" s="11">
        <f t="shared" si="11"/>
        <v>375538.29839835007</v>
      </c>
      <c r="P84" s="11">
        <f t="shared" si="12"/>
        <v>408739.63935974822</v>
      </c>
    </row>
    <row r="85" spans="2:16" ht="45" x14ac:dyDescent="0.25">
      <c r="B85" s="8" t="s">
        <v>417</v>
      </c>
      <c r="C85" s="3">
        <v>2986.6310400000002</v>
      </c>
      <c r="K85" s="11">
        <f t="shared" si="7"/>
        <v>2986.6310400000002</v>
      </c>
      <c r="L85" s="11">
        <f t="shared" si="8"/>
        <v>2986.6310400000002</v>
      </c>
      <c r="M85" s="11">
        <f t="shared" si="9"/>
        <v>2986.6310400000002</v>
      </c>
      <c r="N85" s="11">
        <f t="shared" si="10"/>
        <v>2986.6310400000002</v>
      </c>
      <c r="O85" s="11">
        <f t="shared" si="11"/>
        <v>2986.6310400000002</v>
      </c>
      <c r="P85" s="11">
        <f t="shared" si="12"/>
        <v>2986.6310400000002</v>
      </c>
    </row>
    <row r="86" spans="2:16" ht="56.25" x14ac:dyDescent="0.25">
      <c r="B86" s="7" t="s">
        <v>418</v>
      </c>
      <c r="C86" s="5">
        <v>1118510.210006</v>
      </c>
      <c r="K86" s="11">
        <f t="shared" si="7"/>
        <v>1118510.210006</v>
      </c>
      <c r="L86" s="11">
        <f t="shared" si="8"/>
        <v>1118510.210006</v>
      </c>
      <c r="M86" s="11">
        <f t="shared" si="9"/>
        <v>1118510.210006</v>
      </c>
      <c r="N86" s="11">
        <f t="shared" si="10"/>
        <v>1118510.210006</v>
      </c>
      <c r="O86" s="11">
        <f t="shared" si="11"/>
        <v>1118510.210006</v>
      </c>
      <c r="P86" s="11">
        <f t="shared" si="12"/>
        <v>1118510.210006</v>
      </c>
    </row>
    <row r="87" spans="2:16" ht="22.5" x14ac:dyDescent="0.25">
      <c r="B87" s="8" t="s">
        <v>11</v>
      </c>
      <c r="C87" s="3">
        <v>5454.8524509999997</v>
      </c>
      <c r="D87">
        <v>17.295999999999999</v>
      </c>
      <c r="E87">
        <v>10.492000000000001</v>
      </c>
      <c r="F87">
        <v>7.3250000000000002</v>
      </c>
      <c r="G87">
        <v>5.3170000000000002</v>
      </c>
      <c r="H87">
        <v>3.88</v>
      </c>
      <c r="I87">
        <v>4.444</v>
      </c>
      <c r="K87" s="11">
        <f t="shared" si="7"/>
        <v>6398.3237309249598</v>
      </c>
      <c r="L87" s="11">
        <f t="shared" si="8"/>
        <v>7069.6358567736061</v>
      </c>
      <c r="M87" s="11">
        <f t="shared" si="9"/>
        <v>7587.4866832822727</v>
      </c>
      <c r="N87" s="11">
        <f t="shared" si="10"/>
        <v>7990.9133502323903</v>
      </c>
      <c r="O87" s="11">
        <f t="shared" si="11"/>
        <v>8300.9607882214059</v>
      </c>
      <c r="P87" s="11">
        <f t="shared" si="12"/>
        <v>8669.855485649965</v>
      </c>
    </row>
    <row r="88" spans="2:16" ht="22.5" x14ac:dyDescent="0.25">
      <c r="B88" s="8" t="s">
        <v>39</v>
      </c>
      <c r="C88" s="5">
        <v>29805.130109999998</v>
      </c>
      <c r="D88">
        <v>8.2880000000000003</v>
      </c>
      <c r="E88">
        <v>-3.0000000000000001E-3</v>
      </c>
      <c r="F88">
        <v>1.6120000000000001</v>
      </c>
      <c r="G88">
        <v>1.77</v>
      </c>
      <c r="H88">
        <v>1.4970000000000001</v>
      </c>
      <c r="I88">
        <v>1.6020000000000001</v>
      </c>
      <c r="K88" s="11">
        <f t="shared" si="7"/>
        <v>32275.379293516798</v>
      </c>
      <c r="L88" s="11">
        <f t="shared" si="8"/>
        <v>32274.411032137992</v>
      </c>
      <c r="M88" s="11">
        <f t="shared" si="9"/>
        <v>32794.674537976054</v>
      </c>
      <c r="N88" s="11">
        <f t="shared" si="10"/>
        <v>33375.140277298233</v>
      </c>
      <c r="O88" s="11">
        <f t="shared" si="11"/>
        <v>33874.766127249386</v>
      </c>
      <c r="P88" s="11">
        <f t="shared" si="12"/>
        <v>34417.439880607919</v>
      </c>
    </row>
    <row r="89" spans="2:16" ht="56.25" x14ac:dyDescent="0.25">
      <c r="B89" s="8" t="s">
        <v>51</v>
      </c>
      <c r="C89" s="3">
        <v>8795.0719769999996</v>
      </c>
      <c r="D89">
        <v>4.976</v>
      </c>
      <c r="E89">
        <v>6.3860000000000001</v>
      </c>
      <c r="F89">
        <v>4.0510000000000002</v>
      </c>
      <c r="G89">
        <v>5.7569999999999997</v>
      </c>
      <c r="H89">
        <v>5.6589999999999998</v>
      </c>
      <c r="I89">
        <v>5.1859999999999999</v>
      </c>
      <c r="K89" s="11">
        <f t="shared" si="7"/>
        <v>9232.7147585755192</v>
      </c>
      <c r="L89" s="11">
        <f t="shared" si="8"/>
        <v>9822.3159230581514</v>
      </c>
      <c r="M89" s="11">
        <f t="shared" si="9"/>
        <v>10220.217941101237</v>
      </c>
      <c r="N89" s="11">
        <f t="shared" si="10"/>
        <v>10808.595887970434</v>
      </c>
      <c r="O89" s="11">
        <f t="shared" si="11"/>
        <v>11420.25432927068</v>
      </c>
      <c r="P89" s="11">
        <f t="shared" si="12"/>
        <v>12012.508718786657</v>
      </c>
    </row>
    <row r="90" spans="2:16" ht="22.5" x14ac:dyDescent="0.25">
      <c r="B90" s="8" t="s">
        <v>59</v>
      </c>
      <c r="C90" s="5">
        <v>34294.897366999998</v>
      </c>
      <c r="D90">
        <v>7.4749999999999996</v>
      </c>
      <c r="E90">
        <v>5.9939999999999998</v>
      </c>
      <c r="F90">
        <v>5.4409999999999998</v>
      </c>
      <c r="G90">
        <v>4.1890000000000001</v>
      </c>
      <c r="H90">
        <v>3.9569999999999999</v>
      </c>
      <c r="I90">
        <v>3.9020000000000001</v>
      </c>
      <c r="K90" s="11">
        <f t="shared" si="7"/>
        <v>36858.440945183254</v>
      </c>
      <c r="L90" s="11">
        <f t="shared" si="8"/>
        <v>39067.735895437545</v>
      </c>
      <c r="M90" s="11">
        <f t="shared" si="9"/>
        <v>41193.411405508305</v>
      </c>
      <c r="N90" s="11">
        <f t="shared" si="10"/>
        <v>42919.003409285047</v>
      </c>
      <c r="O90" s="11">
        <f t="shared" si="11"/>
        <v>44617.308374190463</v>
      </c>
      <c r="P90" s="11">
        <f t="shared" si="12"/>
        <v>46358.275746951374</v>
      </c>
    </row>
    <row r="91" spans="2:16" ht="22.5" x14ac:dyDescent="0.25">
      <c r="B91" s="8" t="s">
        <v>93</v>
      </c>
      <c r="C91" s="3">
        <v>27672.259147000001</v>
      </c>
      <c r="D91">
        <v>3.6</v>
      </c>
      <c r="E91">
        <v>4</v>
      </c>
      <c r="F91">
        <v>4</v>
      </c>
      <c r="G91">
        <v>8</v>
      </c>
      <c r="H91">
        <v>8.1</v>
      </c>
      <c r="I91">
        <v>5.0999999999999996</v>
      </c>
      <c r="K91" s="11">
        <f t="shared" si="7"/>
        <v>28668.460476292003</v>
      </c>
      <c r="L91" s="11">
        <f t="shared" si="8"/>
        <v>29815.198895343685</v>
      </c>
      <c r="M91" s="11">
        <f t="shared" si="9"/>
        <v>31007.806851157435</v>
      </c>
      <c r="N91" s="11">
        <f t="shared" si="10"/>
        <v>33488.431399250032</v>
      </c>
      <c r="O91" s="11">
        <f t="shared" si="11"/>
        <v>36200.994342589285</v>
      </c>
      <c r="P91" s="11">
        <f t="shared" si="12"/>
        <v>38047.245054061335</v>
      </c>
    </row>
    <row r="92" spans="2:16" ht="33.75" x14ac:dyDescent="0.25">
      <c r="B92" s="8" t="s">
        <v>421</v>
      </c>
      <c r="C92" s="5"/>
      <c r="K92" s="11">
        <f t="shared" si="7"/>
        <v>0</v>
      </c>
      <c r="L92" s="11">
        <f t="shared" si="8"/>
        <v>0</v>
      </c>
      <c r="M92" s="11">
        <f t="shared" si="9"/>
        <v>0</v>
      </c>
      <c r="N92" s="11">
        <f t="shared" si="10"/>
        <v>0</v>
      </c>
      <c r="O92" s="11">
        <f t="shared" si="11"/>
        <v>0</v>
      </c>
      <c r="P92" s="11">
        <f t="shared" si="12"/>
        <v>0</v>
      </c>
    </row>
    <row r="93" spans="2:16" ht="33.75" x14ac:dyDescent="0.25">
      <c r="B93" s="8" t="s">
        <v>422</v>
      </c>
      <c r="C93" s="3">
        <v>1197.341279</v>
      </c>
      <c r="K93" s="11">
        <f t="shared" si="7"/>
        <v>1197.341279</v>
      </c>
      <c r="L93" s="11">
        <f t="shared" si="8"/>
        <v>1197.341279</v>
      </c>
      <c r="M93" s="11">
        <f t="shared" si="9"/>
        <v>1197.341279</v>
      </c>
      <c r="N93" s="11">
        <f t="shared" si="10"/>
        <v>1197.341279</v>
      </c>
      <c r="O93" s="11">
        <f t="shared" si="11"/>
        <v>1197.341279</v>
      </c>
      <c r="P93" s="11">
        <f t="shared" si="12"/>
        <v>1197.341279</v>
      </c>
    </row>
    <row r="94" spans="2:16" ht="22.5" x14ac:dyDescent="0.25">
      <c r="B94" s="8" t="s">
        <v>423</v>
      </c>
      <c r="C94" s="5">
        <v>7592.0171380000002</v>
      </c>
      <c r="K94" s="11">
        <f t="shared" si="7"/>
        <v>7592.0171380000002</v>
      </c>
      <c r="L94" s="11">
        <f t="shared" si="8"/>
        <v>7592.0171380000002</v>
      </c>
      <c r="M94" s="11">
        <f t="shared" si="9"/>
        <v>7592.0171380000002</v>
      </c>
      <c r="N94" s="11">
        <f t="shared" si="10"/>
        <v>7592.0171380000002</v>
      </c>
      <c r="O94" s="11">
        <f t="shared" si="11"/>
        <v>7592.0171380000002</v>
      </c>
      <c r="P94" s="11">
        <f t="shared" si="12"/>
        <v>7592.0171380000002</v>
      </c>
    </row>
    <row r="95" spans="2:16" ht="22.5" x14ac:dyDescent="0.25">
      <c r="B95" s="8" t="s">
        <v>156</v>
      </c>
      <c r="C95" s="3">
        <v>112970.583109</v>
      </c>
      <c r="D95">
        <v>3.246</v>
      </c>
      <c r="E95">
        <v>7.1589999999999998</v>
      </c>
      <c r="F95">
        <v>5.1989999999999998</v>
      </c>
      <c r="G95">
        <v>5.4210000000000003</v>
      </c>
      <c r="H95">
        <v>5.3</v>
      </c>
      <c r="I95">
        <v>5.3769999999999998</v>
      </c>
      <c r="K95" s="11">
        <f t="shared" si="7"/>
        <v>116637.60823671814</v>
      </c>
      <c r="L95" s="11">
        <f t="shared" si="8"/>
        <v>124987.69461038479</v>
      </c>
      <c r="M95" s="11">
        <f t="shared" si="9"/>
        <v>131485.80485317868</v>
      </c>
      <c r="N95" s="11">
        <f t="shared" si="10"/>
        <v>138613.65033426951</v>
      </c>
      <c r="O95" s="11">
        <f t="shared" si="11"/>
        <v>145960.17380198577</v>
      </c>
      <c r="P95" s="11">
        <f t="shared" si="12"/>
        <v>153808.45234731855</v>
      </c>
    </row>
    <row r="96" spans="2:16" ht="45" x14ac:dyDescent="0.25">
      <c r="B96" s="8" t="s">
        <v>424</v>
      </c>
      <c r="C96" s="5">
        <v>2390.057738</v>
      </c>
      <c r="K96" s="11">
        <f t="shared" si="7"/>
        <v>2390.057738</v>
      </c>
      <c r="L96" s="11">
        <f t="shared" si="8"/>
        <v>2390.057738</v>
      </c>
      <c r="M96" s="11">
        <f t="shared" si="9"/>
        <v>2390.057738</v>
      </c>
      <c r="N96" s="11">
        <f t="shared" si="10"/>
        <v>2390.057738</v>
      </c>
      <c r="O96" s="11">
        <f t="shared" si="11"/>
        <v>2390.057738</v>
      </c>
      <c r="P96" s="11">
        <f t="shared" si="12"/>
        <v>2390.057738</v>
      </c>
    </row>
    <row r="97" spans="2:16" ht="45" x14ac:dyDescent="0.25">
      <c r="B97" s="8" t="s">
        <v>425</v>
      </c>
      <c r="C97" s="3">
        <v>5836.2584379999998</v>
      </c>
      <c r="K97" s="11">
        <f t="shared" si="7"/>
        <v>5836.2584379999998</v>
      </c>
      <c r="L97" s="11">
        <f t="shared" si="8"/>
        <v>5836.2584379999998</v>
      </c>
      <c r="M97" s="11">
        <f t="shared" si="9"/>
        <v>5836.2584379999998</v>
      </c>
      <c r="N97" s="11">
        <f t="shared" si="10"/>
        <v>5836.2584379999998</v>
      </c>
      <c r="O97" s="11">
        <f t="shared" si="11"/>
        <v>5836.2584379999998</v>
      </c>
      <c r="P97" s="11">
        <f t="shared" si="12"/>
        <v>5836.2584379999998</v>
      </c>
    </row>
    <row r="98" spans="2:16" ht="22.5" x14ac:dyDescent="0.25">
      <c r="B98" s="8" t="s">
        <v>233</v>
      </c>
      <c r="C98" s="5">
        <v>2623.5984389999999</v>
      </c>
      <c r="D98">
        <v>7.55</v>
      </c>
      <c r="E98">
        <v>3.4809999999999999</v>
      </c>
      <c r="F98">
        <v>2.6859999999999999</v>
      </c>
      <c r="G98">
        <v>2.23</v>
      </c>
      <c r="H98">
        <v>2.2730000000000001</v>
      </c>
      <c r="I98">
        <v>2.33</v>
      </c>
      <c r="K98" s="11">
        <f t="shared" si="7"/>
        <v>2821.6801211444995</v>
      </c>
      <c r="L98" s="11">
        <f t="shared" si="8"/>
        <v>2919.9028061615395</v>
      </c>
      <c r="M98" s="11">
        <f t="shared" si="9"/>
        <v>2998.3313955350386</v>
      </c>
      <c r="N98" s="11">
        <f t="shared" si="10"/>
        <v>3065.1941856554699</v>
      </c>
      <c r="O98" s="11">
        <f t="shared" si="11"/>
        <v>3134.8660494954183</v>
      </c>
      <c r="P98" s="11">
        <f t="shared" si="12"/>
        <v>3207.9084284486621</v>
      </c>
    </row>
    <row r="99" spans="2:16" ht="56.25" x14ac:dyDescent="0.25">
      <c r="B99" s="8" t="s">
        <v>426</v>
      </c>
      <c r="C99" s="3">
        <v>6565.0482469999997</v>
      </c>
      <c r="K99" s="11">
        <f t="shared" si="7"/>
        <v>6565.0482469999997</v>
      </c>
      <c r="L99" s="11">
        <f t="shared" si="8"/>
        <v>6565.0482469999997</v>
      </c>
      <c r="M99" s="11">
        <f t="shared" si="9"/>
        <v>6565.0482469999997</v>
      </c>
      <c r="N99" s="11">
        <f t="shared" si="10"/>
        <v>6565.0482469999997</v>
      </c>
      <c r="O99" s="11">
        <f t="shared" si="11"/>
        <v>6565.0482469999997</v>
      </c>
      <c r="P99" s="11">
        <f t="shared" si="12"/>
        <v>6565.0482469999997</v>
      </c>
    </row>
    <row r="100" spans="2:16" ht="45" x14ac:dyDescent="0.25">
      <c r="B100" s="8" t="s">
        <v>427</v>
      </c>
      <c r="C100" s="5">
        <v>276936.61163399997</v>
      </c>
      <c r="K100" s="11">
        <f t="shared" si="7"/>
        <v>276936.61163399997</v>
      </c>
      <c r="L100" s="11">
        <f t="shared" si="8"/>
        <v>276936.61163399997</v>
      </c>
      <c r="M100" s="11">
        <f t="shared" si="9"/>
        <v>276936.61163399997</v>
      </c>
      <c r="N100" s="11">
        <f t="shared" si="10"/>
        <v>276936.61163399997</v>
      </c>
      <c r="O100" s="11">
        <f t="shared" si="11"/>
        <v>276936.61163399997</v>
      </c>
      <c r="P100" s="11">
        <f t="shared" si="12"/>
        <v>276936.61163399997</v>
      </c>
    </row>
    <row r="101" spans="2:16" ht="22.5" x14ac:dyDescent="0.25">
      <c r="B101" s="8" t="s">
        <v>282</v>
      </c>
      <c r="C101" s="3">
        <v>91076.660067000004</v>
      </c>
      <c r="D101">
        <v>14.922000000000001</v>
      </c>
      <c r="E101">
        <v>10.858000000000001</v>
      </c>
      <c r="F101">
        <v>7.3490000000000002</v>
      </c>
      <c r="G101">
        <v>7.1130000000000004</v>
      </c>
      <c r="H101">
        <v>6.8179999999999996</v>
      </c>
      <c r="I101">
        <v>6.6639999999999997</v>
      </c>
      <c r="K101" s="11">
        <f t="shared" si="7"/>
        <v>104667.11928219776</v>
      </c>
      <c r="L101" s="11">
        <f t="shared" si="8"/>
        <v>116031.87509385878</v>
      </c>
      <c r="M101" s="11">
        <f t="shared" si="9"/>
        <v>124559.05759450646</v>
      </c>
      <c r="N101" s="11">
        <f t="shared" si="10"/>
        <v>133418.94336120371</v>
      </c>
      <c r="O101" s="11">
        <f t="shared" si="11"/>
        <v>142515.44691957056</v>
      </c>
      <c r="P101" s="11">
        <f t="shared" si="12"/>
        <v>152012.67630229075</v>
      </c>
    </row>
    <row r="102" spans="2:16" ht="22.5" x14ac:dyDescent="0.25">
      <c r="B102" s="8" t="s">
        <v>284</v>
      </c>
      <c r="C102" s="5">
        <v>219329.157263</v>
      </c>
      <c r="D102">
        <v>1.444</v>
      </c>
      <c r="E102">
        <v>4.9989999999999997</v>
      </c>
      <c r="F102">
        <v>1.6870000000000001</v>
      </c>
      <c r="G102">
        <v>1.3759999999999999</v>
      </c>
      <c r="H102">
        <v>1.2709999999999999</v>
      </c>
      <c r="I102">
        <v>1.3160000000000001</v>
      </c>
      <c r="K102" s="11">
        <f t="shared" si="7"/>
        <v>222496.27029387772</v>
      </c>
      <c r="L102" s="11">
        <f t="shared" si="8"/>
        <v>233618.85884586867</v>
      </c>
      <c r="M102" s="11">
        <f t="shared" si="9"/>
        <v>237560.00899459847</v>
      </c>
      <c r="N102" s="11">
        <f t="shared" si="10"/>
        <v>240828.83471836415</v>
      </c>
      <c r="O102" s="11">
        <f t="shared" si="11"/>
        <v>243889.76920763456</v>
      </c>
      <c r="P102" s="11">
        <f t="shared" si="12"/>
        <v>247099.35857040703</v>
      </c>
    </row>
    <row r="103" spans="2:16" ht="22.5" x14ac:dyDescent="0.25">
      <c r="B103" s="8" t="s">
        <v>296</v>
      </c>
      <c r="C103" s="3">
        <v>24294.077012000002</v>
      </c>
      <c r="D103">
        <v>24.039000000000001</v>
      </c>
      <c r="E103">
        <v>6.5389999999999997</v>
      </c>
      <c r="F103">
        <v>5.5389999999999997</v>
      </c>
      <c r="G103">
        <v>5.5389999999999997</v>
      </c>
      <c r="H103">
        <v>5.5389999999999997</v>
      </c>
      <c r="I103">
        <v>6.0389999999999997</v>
      </c>
      <c r="K103" s="11">
        <f t="shared" si="7"/>
        <v>30134.130184914684</v>
      </c>
      <c r="L103" s="11">
        <f t="shared" si="8"/>
        <v>32104.600957706258</v>
      </c>
      <c r="M103" s="11">
        <f t="shared" si="9"/>
        <v>33882.874804753606</v>
      </c>
      <c r="N103" s="11">
        <f t="shared" si="10"/>
        <v>35759.647240188911</v>
      </c>
      <c r="O103" s="11">
        <f t="shared" si="11"/>
        <v>37740.374100822977</v>
      </c>
      <c r="P103" s="11">
        <f t="shared" si="12"/>
        <v>40019.515292771677</v>
      </c>
    </row>
    <row r="104" spans="2:16" ht="45" x14ac:dyDescent="0.25">
      <c r="B104" s="8" t="s">
        <v>430</v>
      </c>
      <c r="C104" s="5"/>
      <c r="K104" s="11">
        <f t="shared" si="7"/>
        <v>0</v>
      </c>
      <c r="L104" s="11">
        <f t="shared" si="8"/>
        <v>0</v>
      </c>
      <c r="M104" s="11">
        <f t="shared" si="9"/>
        <v>0</v>
      </c>
      <c r="N104" s="11">
        <f t="shared" si="10"/>
        <v>0</v>
      </c>
      <c r="O104" s="11">
        <f t="shared" si="11"/>
        <v>0</v>
      </c>
      <c r="P104" s="11">
        <f t="shared" si="12"/>
        <v>0</v>
      </c>
    </row>
    <row r="105" spans="2:16" ht="22.5" x14ac:dyDescent="0.25">
      <c r="B105" s="8" t="s">
        <v>351</v>
      </c>
      <c r="C105" s="3">
        <v>204986.413351</v>
      </c>
      <c r="D105">
        <v>15.420999999999999</v>
      </c>
      <c r="E105">
        <v>4.4050000000000002</v>
      </c>
      <c r="F105">
        <v>2.649</v>
      </c>
      <c r="G105">
        <v>2.7349999999999999</v>
      </c>
      <c r="H105">
        <v>3.9620000000000002</v>
      </c>
      <c r="I105">
        <v>3.6850000000000001</v>
      </c>
      <c r="K105" s="11">
        <f t="shared" si="7"/>
        <v>236597.36815385771</v>
      </c>
      <c r="L105" s="11">
        <f t="shared" si="8"/>
        <v>247019.48222103511</v>
      </c>
      <c r="M105" s="11">
        <f t="shared" si="9"/>
        <v>253563.0283050703</v>
      </c>
      <c r="N105" s="11">
        <f t="shared" si="10"/>
        <v>260497.97712921398</v>
      </c>
      <c r="O105" s="11">
        <f t="shared" si="11"/>
        <v>270818.90698307345</v>
      </c>
      <c r="P105" s="11">
        <f t="shared" si="12"/>
        <v>280798.58370539971</v>
      </c>
    </row>
    <row r="106" spans="2:16" ht="22.5" x14ac:dyDescent="0.25">
      <c r="B106" s="8" t="s">
        <v>431</v>
      </c>
      <c r="C106" s="5"/>
      <c r="K106" s="11">
        <f t="shared" si="7"/>
        <v>0</v>
      </c>
      <c r="L106" s="11">
        <f t="shared" si="8"/>
        <v>0</v>
      </c>
      <c r="M106" s="11">
        <f t="shared" si="9"/>
        <v>0</v>
      </c>
      <c r="N106" s="11">
        <f t="shared" si="10"/>
        <v>0</v>
      </c>
      <c r="O106" s="11">
        <f t="shared" si="11"/>
        <v>0</v>
      </c>
      <c r="P106" s="11">
        <f t="shared" si="12"/>
        <v>0</v>
      </c>
    </row>
    <row r="107" spans="2:16" ht="22.5" x14ac:dyDescent="0.25">
      <c r="B107" s="8" t="s">
        <v>358</v>
      </c>
      <c r="C107" s="3">
        <v>53390.787991999998</v>
      </c>
      <c r="D107">
        <v>11.766999999999999</v>
      </c>
      <c r="E107">
        <v>7.6289999999999996</v>
      </c>
      <c r="F107">
        <v>7.64</v>
      </c>
      <c r="G107">
        <v>8.3859999999999992</v>
      </c>
      <c r="H107">
        <v>8.4459999999999997</v>
      </c>
      <c r="I107">
        <v>8.3330000000000002</v>
      </c>
      <c r="K107" s="11">
        <f t="shared" si="7"/>
        <v>59673.282015018631</v>
      </c>
      <c r="L107" s="11">
        <f t="shared" si="8"/>
        <v>64225.756699944402</v>
      </c>
      <c r="M107" s="11">
        <f t="shared" si="9"/>
        <v>69132.604511820158</v>
      </c>
      <c r="N107" s="11">
        <f t="shared" si="10"/>
        <v>74930.064726181401</v>
      </c>
      <c r="O107" s="11">
        <f t="shared" si="11"/>
        <v>81258.657992954686</v>
      </c>
      <c r="P107" s="11">
        <f t="shared" si="12"/>
        <v>88029.94196350759</v>
      </c>
    </row>
    <row r="108" spans="2:16" x14ac:dyDescent="0.25">
      <c r="B108" s="8" t="s">
        <v>432</v>
      </c>
      <c r="C108" s="5"/>
      <c r="K108" s="11">
        <f t="shared" si="7"/>
        <v>0</v>
      </c>
      <c r="L108" s="11">
        <f t="shared" si="8"/>
        <v>0</v>
      </c>
      <c r="M108" s="11">
        <f t="shared" si="9"/>
        <v>0</v>
      </c>
      <c r="N108" s="11">
        <f t="shared" si="10"/>
        <v>0</v>
      </c>
      <c r="O108" s="11">
        <f t="shared" si="11"/>
        <v>0</v>
      </c>
      <c r="P108" s="11">
        <f t="shared" si="12"/>
        <v>0</v>
      </c>
    </row>
    <row r="109" spans="2:16" ht="45" x14ac:dyDescent="0.25">
      <c r="B109" s="8" t="s">
        <v>433</v>
      </c>
      <c r="C109" s="3">
        <v>3299.3872470000001</v>
      </c>
      <c r="K109" s="11">
        <f t="shared" si="7"/>
        <v>3299.3872470000001</v>
      </c>
      <c r="L109" s="11">
        <f t="shared" si="8"/>
        <v>3299.3872470000001</v>
      </c>
      <c r="M109" s="11">
        <f t="shared" si="9"/>
        <v>3299.3872470000001</v>
      </c>
      <c r="N109" s="11">
        <f t="shared" si="10"/>
        <v>3299.3872470000001</v>
      </c>
      <c r="O109" s="11">
        <f t="shared" si="11"/>
        <v>3299.3872470000001</v>
      </c>
      <c r="P109" s="11">
        <f t="shared" si="12"/>
        <v>3299.3872470000001</v>
      </c>
    </row>
    <row r="110" spans="2:16" ht="56.25" x14ac:dyDescent="0.25">
      <c r="B110" s="7" t="s">
        <v>434</v>
      </c>
      <c r="C110" s="5">
        <v>863795.17111899995</v>
      </c>
      <c r="K110" s="11">
        <f t="shared" si="7"/>
        <v>863795.17111899995</v>
      </c>
      <c r="L110" s="11">
        <f t="shared" si="8"/>
        <v>863795.17111899995</v>
      </c>
      <c r="M110" s="11">
        <f t="shared" si="9"/>
        <v>863795.17111899995</v>
      </c>
      <c r="N110" s="11">
        <f t="shared" si="10"/>
        <v>863795.17111899995</v>
      </c>
      <c r="O110" s="11">
        <f t="shared" si="11"/>
        <v>863795.17111899995</v>
      </c>
      <c r="P110" s="11">
        <f t="shared" si="12"/>
        <v>863795.17111899995</v>
      </c>
    </row>
    <row r="111" spans="2:16" ht="78.75" x14ac:dyDescent="0.25">
      <c r="B111" s="8" t="s">
        <v>435</v>
      </c>
      <c r="C111" s="3">
        <v>7117.0584509999999</v>
      </c>
      <c r="K111" s="11">
        <f t="shared" si="7"/>
        <v>7117.0584509999999</v>
      </c>
      <c r="L111" s="11">
        <f t="shared" si="8"/>
        <v>7117.0584509999999</v>
      </c>
      <c r="M111" s="11">
        <f t="shared" si="9"/>
        <v>7117.0584509999999</v>
      </c>
      <c r="N111" s="11">
        <f t="shared" si="10"/>
        <v>7117.0584509999999</v>
      </c>
      <c r="O111" s="11">
        <f t="shared" si="11"/>
        <v>7117.0584509999999</v>
      </c>
      <c r="P111" s="11">
        <f t="shared" si="12"/>
        <v>7117.0584509999999</v>
      </c>
    </row>
    <row r="112" spans="2:16" ht="22.5" x14ac:dyDescent="0.25">
      <c r="B112" s="8" t="s">
        <v>13</v>
      </c>
      <c r="C112" s="5">
        <v>35571.143831000001</v>
      </c>
      <c r="D112">
        <v>5.2039999999999997</v>
      </c>
      <c r="E112">
        <v>7.44</v>
      </c>
      <c r="F112">
        <v>2.4790000000000001</v>
      </c>
      <c r="G112">
        <v>-3.1539999999999999</v>
      </c>
      <c r="H112">
        <v>-3.5129999999999999</v>
      </c>
      <c r="I112">
        <v>-3.298</v>
      </c>
      <c r="K112" s="11">
        <f t="shared" si="7"/>
        <v>37422.266155965248</v>
      </c>
      <c r="L112" s="11">
        <f t="shared" si="8"/>
        <v>40206.482757969061</v>
      </c>
      <c r="M112" s="11">
        <f t="shared" si="9"/>
        <v>41203.201465539118</v>
      </c>
      <c r="N112" s="11">
        <f t="shared" si="10"/>
        <v>39903.65249131601</v>
      </c>
      <c r="O112" s="11">
        <f t="shared" si="11"/>
        <v>38501.837179296082</v>
      </c>
      <c r="P112" s="11">
        <f t="shared" si="12"/>
        <v>37232.046589122896</v>
      </c>
    </row>
    <row r="113" spans="2:16" ht="22.5" x14ac:dyDescent="0.25">
      <c r="B113" s="8" t="s">
        <v>22</v>
      </c>
      <c r="C113" s="3">
        <v>3532.0575509999999</v>
      </c>
      <c r="D113">
        <v>-8.3439999999999994</v>
      </c>
      <c r="E113">
        <v>5.2469999999999999</v>
      </c>
      <c r="F113">
        <v>6.22</v>
      </c>
      <c r="G113">
        <v>5.3730000000000002</v>
      </c>
      <c r="H113">
        <v>5.3109999999999999</v>
      </c>
      <c r="I113">
        <v>5.3049999999999997</v>
      </c>
      <c r="K113" s="11">
        <f t="shared" si="7"/>
        <v>3237.34266894456</v>
      </c>
      <c r="L113" s="11">
        <f t="shared" si="8"/>
        <v>3407.2060387840811</v>
      </c>
      <c r="M113" s="11">
        <f t="shared" si="9"/>
        <v>3619.1342543964511</v>
      </c>
      <c r="N113" s="11">
        <f t="shared" si="10"/>
        <v>3813.5903378851726</v>
      </c>
      <c r="O113" s="11">
        <f t="shared" si="11"/>
        <v>4016.130120730254</v>
      </c>
      <c r="P113" s="11">
        <f t="shared" si="12"/>
        <v>4229.1858236349944</v>
      </c>
    </row>
    <row r="114" spans="2:16" ht="22.5" x14ac:dyDescent="0.25">
      <c r="B114" s="8" t="s">
        <v>29</v>
      </c>
      <c r="C114" s="5">
        <v>9497.5297609999998</v>
      </c>
      <c r="D114">
        <v>3.786</v>
      </c>
      <c r="E114">
        <v>-0.495</v>
      </c>
      <c r="F114">
        <v>-2.65</v>
      </c>
      <c r="G114">
        <v>-3.206</v>
      </c>
      <c r="H114">
        <v>-0.32700000000000001</v>
      </c>
      <c r="I114">
        <v>1.2150000000000001</v>
      </c>
      <c r="K114" s="11">
        <f t="shared" si="7"/>
        <v>9857.106237751459</v>
      </c>
      <c r="L114" s="11">
        <f t="shared" si="8"/>
        <v>9808.3135618745891</v>
      </c>
      <c r="M114" s="11">
        <f t="shared" si="9"/>
        <v>9548.3932524849133</v>
      </c>
      <c r="N114" s="11">
        <f t="shared" si="10"/>
        <v>9242.271764810248</v>
      </c>
      <c r="O114" s="11">
        <f t="shared" si="11"/>
        <v>9212.0495361393187</v>
      </c>
      <c r="P114" s="11">
        <f t="shared" si="12"/>
        <v>9323.975938003412</v>
      </c>
    </row>
    <row r="115" spans="2:16" ht="22.5" x14ac:dyDescent="0.25">
      <c r="B115" s="8" t="s">
        <v>33</v>
      </c>
      <c r="C115" s="3">
        <v>13976.146339999999</v>
      </c>
      <c r="D115">
        <v>-0.60499999999999998</v>
      </c>
      <c r="E115">
        <v>6.8920000000000003</v>
      </c>
      <c r="F115">
        <v>2.0859999999999999</v>
      </c>
      <c r="G115">
        <v>2.0009999999999999</v>
      </c>
      <c r="H115">
        <v>2.0739999999999998</v>
      </c>
      <c r="I115">
        <v>2.2040000000000002</v>
      </c>
      <c r="K115" s="11">
        <f t="shared" si="7"/>
        <v>13891.590654643</v>
      </c>
      <c r="L115" s="11">
        <f t="shared" si="8"/>
        <v>14848.999082560997</v>
      </c>
      <c r="M115" s="11">
        <f t="shared" si="9"/>
        <v>15158.74920342322</v>
      </c>
      <c r="N115" s="11">
        <f t="shared" si="10"/>
        <v>15462.075774983719</v>
      </c>
      <c r="O115" s="11">
        <f t="shared" si="11"/>
        <v>15782.759226556882</v>
      </c>
      <c r="P115" s="11">
        <f t="shared" si="12"/>
        <v>16130.611239910197</v>
      </c>
    </row>
    <row r="116" spans="2:16" ht="22.5" x14ac:dyDescent="0.25">
      <c r="B116" s="8" t="s">
        <v>101</v>
      </c>
      <c r="C116" s="5">
        <v>5817.34447</v>
      </c>
      <c r="D116">
        <v>8.7439999999999998</v>
      </c>
      <c r="E116">
        <v>6.69</v>
      </c>
      <c r="F116">
        <v>5.5759999999999996</v>
      </c>
      <c r="G116">
        <v>5.3209999999999997</v>
      </c>
      <c r="H116">
        <v>5.3220000000000001</v>
      </c>
      <c r="I116">
        <v>5.7839999999999998</v>
      </c>
      <c r="K116" s="11">
        <f t="shared" si="7"/>
        <v>6326.0130704568001</v>
      </c>
      <c r="L116" s="11">
        <f t="shared" si="8"/>
        <v>6749.2233448703601</v>
      </c>
      <c r="M116" s="11">
        <f t="shared" si="9"/>
        <v>7125.5600385803318</v>
      </c>
      <c r="N116" s="11">
        <f t="shared" si="10"/>
        <v>7504.7110882331908</v>
      </c>
      <c r="O116" s="11">
        <f t="shared" si="11"/>
        <v>7904.1118123489614</v>
      </c>
      <c r="P116" s="11">
        <f t="shared" si="12"/>
        <v>8361.2856395752242</v>
      </c>
    </row>
    <row r="117" spans="2:16" x14ac:dyDescent="0.25">
      <c r="B117" s="8" t="s">
        <v>109</v>
      </c>
      <c r="C117" s="3">
        <v>72956.047149000005</v>
      </c>
      <c r="D117">
        <v>4.9340000000000002</v>
      </c>
      <c r="E117">
        <v>1.329</v>
      </c>
      <c r="F117">
        <v>5.0999999999999996</v>
      </c>
      <c r="G117">
        <v>1.42</v>
      </c>
      <c r="H117">
        <v>0.217</v>
      </c>
      <c r="I117">
        <v>2.6850000000000001</v>
      </c>
      <c r="K117" s="11">
        <f t="shared" si="7"/>
        <v>76555.698515331664</v>
      </c>
      <c r="L117" s="11">
        <f t="shared" si="8"/>
        <v>77573.123748600425</v>
      </c>
      <c r="M117" s="11">
        <f t="shared" si="9"/>
        <v>81529.353059779038</v>
      </c>
      <c r="N117" s="11">
        <f t="shared" si="10"/>
        <v>82687.069873227898</v>
      </c>
      <c r="O117" s="11">
        <f t="shared" si="11"/>
        <v>82866.5008148528</v>
      </c>
      <c r="P117" s="11">
        <f t="shared" si="12"/>
        <v>85091.466361731596</v>
      </c>
    </row>
    <row r="118" spans="2:16" ht="22.5" x14ac:dyDescent="0.25">
      <c r="B118" s="8" t="s">
        <v>132</v>
      </c>
      <c r="C118" s="5">
        <v>8314.9914860000008</v>
      </c>
      <c r="D118">
        <v>11.590999999999999</v>
      </c>
      <c r="E118">
        <v>5.5410000000000004</v>
      </c>
      <c r="F118">
        <v>9.4269999999999996</v>
      </c>
      <c r="G118">
        <v>8.9570000000000007</v>
      </c>
      <c r="H118">
        <v>4.9800000000000004</v>
      </c>
      <c r="I118">
        <v>3.7589999999999999</v>
      </c>
      <c r="K118" s="11">
        <f t="shared" si="7"/>
        <v>9278.7821491422601</v>
      </c>
      <c r="L118" s="11">
        <f t="shared" si="8"/>
        <v>9792.9194680262317</v>
      </c>
      <c r="M118" s="11">
        <f t="shared" si="9"/>
        <v>10716.097986277066</v>
      </c>
      <c r="N118" s="11">
        <f t="shared" si="10"/>
        <v>11675.938882907902</v>
      </c>
      <c r="O118" s="11">
        <f t="shared" si="11"/>
        <v>12257.400639276715</v>
      </c>
      <c r="P118" s="11">
        <f t="shared" si="12"/>
        <v>12718.156329307127</v>
      </c>
    </row>
    <row r="119" spans="2:16" x14ac:dyDescent="0.25">
      <c r="B119" s="8" t="s">
        <v>497</v>
      </c>
      <c r="C119" s="3">
        <v>26927.005369999999</v>
      </c>
      <c r="D119">
        <v>12.638</v>
      </c>
      <c r="E119">
        <v>-0.629</v>
      </c>
      <c r="F119">
        <v>3.0720000000000001</v>
      </c>
      <c r="G119">
        <v>3.206</v>
      </c>
      <c r="H119">
        <v>4.0519999999999996</v>
      </c>
      <c r="I119">
        <v>3.863</v>
      </c>
      <c r="K119" s="11">
        <f t="shared" si="7"/>
        <v>30330.040308660598</v>
      </c>
      <c r="L119" s="11">
        <f t="shared" si="8"/>
        <v>30139.264355119121</v>
      </c>
      <c r="M119" s="11">
        <f t="shared" si="9"/>
        <v>31065.142556108382</v>
      </c>
      <c r="N119" s="11">
        <f t="shared" si="10"/>
        <v>32061.091026457216</v>
      </c>
      <c r="O119" s="11">
        <f t="shared" si="11"/>
        <v>33360.206434849257</v>
      </c>
      <c r="P119" s="11">
        <f t="shared" si="12"/>
        <v>34648.911209427482</v>
      </c>
    </row>
    <row r="120" spans="2:16" x14ac:dyDescent="0.25">
      <c r="B120" s="8" t="s">
        <v>166</v>
      </c>
      <c r="C120" s="5">
        <v>34173.728067999997</v>
      </c>
      <c r="K120" s="11">
        <f t="shared" si="7"/>
        <v>34173.728067999997</v>
      </c>
      <c r="L120" s="11">
        <f t="shared" si="8"/>
        <v>34173.728067999997</v>
      </c>
      <c r="M120" s="11">
        <f t="shared" si="9"/>
        <v>34173.728067999997</v>
      </c>
      <c r="N120" s="11">
        <f t="shared" si="10"/>
        <v>34173.728067999997</v>
      </c>
      <c r="O120" s="11">
        <f t="shared" si="11"/>
        <v>34173.728067999997</v>
      </c>
      <c r="P120" s="11">
        <f t="shared" si="12"/>
        <v>34173.728067999997</v>
      </c>
    </row>
    <row r="121" spans="2:16" ht="22.5" x14ac:dyDescent="0.25">
      <c r="B121" s="8" t="s">
        <v>177</v>
      </c>
      <c r="C121" s="3">
        <v>17065.604574000001</v>
      </c>
      <c r="D121">
        <v>6.766</v>
      </c>
      <c r="E121">
        <v>7.6550000000000002</v>
      </c>
      <c r="F121">
        <v>5.306</v>
      </c>
      <c r="G121">
        <v>3.726</v>
      </c>
      <c r="H121">
        <v>3.536</v>
      </c>
      <c r="I121">
        <v>3.528</v>
      </c>
      <c r="K121" s="11">
        <f t="shared" si="7"/>
        <v>18220.263379476841</v>
      </c>
      <c r="L121" s="11">
        <f t="shared" si="8"/>
        <v>19615.024541175793</v>
      </c>
      <c r="M121" s="11">
        <f t="shared" si="9"/>
        <v>20655.797743330582</v>
      </c>
      <c r="N121" s="11">
        <f t="shared" si="10"/>
        <v>21425.432767247083</v>
      </c>
      <c r="O121" s="11">
        <f t="shared" si="11"/>
        <v>22183.036069896942</v>
      </c>
      <c r="P121" s="11">
        <f t="shared" si="12"/>
        <v>22965.653582442905</v>
      </c>
    </row>
    <row r="122" spans="2:16" ht="22.5" x14ac:dyDescent="0.25">
      <c r="B122" s="8" t="s">
        <v>179</v>
      </c>
      <c r="C122" s="5">
        <v>40588.021853999999</v>
      </c>
      <c r="D122">
        <v>-2.722</v>
      </c>
      <c r="E122">
        <v>2.4239999999999999</v>
      </c>
      <c r="F122">
        <v>8.5340000000000007</v>
      </c>
      <c r="G122">
        <v>4.0060000000000002</v>
      </c>
      <c r="H122">
        <v>1.6910000000000001</v>
      </c>
      <c r="I122">
        <v>3.9889999999999999</v>
      </c>
      <c r="K122" s="11">
        <f t="shared" si="7"/>
        <v>39483.21589913412</v>
      </c>
      <c r="L122" s="11">
        <f t="shared" si="8"/>
        <v>40440.28905252913</v>
      </c>
      <c r="M122" s="11">
        <f t="shared" si="9"/>
        <v>43891.463320271963</v>
      </c>
      <c r="N122" s="11">
        <f t="shared" si="10"/>
        <v>45649.75534088206</v>
      </c>
      <c r="O122" s="11">
        <f t="shared" si="11"/>
        <v>46421.692703696375</v>
      </c>
      <c r="P122" s="11">
        <f t="shared" si="12"/>
        <v>48273.454025646824</v>
      </c>
    </row>
    <row r="123" spans="2:16" ht="22.5" x14ac:dyDescent="0.25">
      <c r="B123" s="8" t="s">
        <v>189</v>
      </c>
      <c r="C123" s="3">
        <v>25031.343242999999</v>
      </c>
      <c r="D123">
        <v>-0.96199999999999997</v>
      </c>
      <c r="E123">
        <v>6.7679999999999998</v>
      </c>
      <c r="F123">
        <v>3.4039999999999999</v>
      </c>
      <c r="G123">
        <v>3.2490000000000001</v>
      </c>
      <c r="H123">
        <v>3.113</v>
      </c>
      <c r="I123">
        <v>2.9929999999999999</v>
      </c>
      <c r="K123" s="11">
        <f t="shared" si="7"/>
        <v>24790.541721002341</v>
      </c>
      <c r="L123" s="11">
        <f t="shared" si="8"/>
        <v>26468.365584679777</v>
      </c>
      <c r="M123" s="11">
        <f t="shared" si="9"/>
        <v>27369.348749182278</v>
      </c>
      <c r="N123" s="11">
        <f t="shared" si="10"/>
        <v>28258.578890043209</v>
      </c>
      <c r="O123" s="11">
        <f t="shared" si="11"/>
        <v>29138.268450890257</v>
      </c>
      <c r="P123" s="11">
        <f t="shared" si="12"/>
        <v>30010.376825625401</v>
      </c>
    </row>
    <row r="124" spans="2:16" ht="45" x14ac:dyDescent="0.25">
      <c r="B124" s="8" t="s">
        <v>191</v>
      </c>
      <c r="C124" s="5">
        <v>6733.150721</v>
      </c>
      <c r="D124">
        <v>-14.218999999999999</v>
      </c>
      <c r="E124">
        <v>17.632999999999999</v>
      </c>
      <c r="F124">
        <v>8.7690000000000001</v>
      </c>
      <c r="G124">
        <v>6.0510000000000002</v>
      </c>
      <c r="H124">
        <v>6.13</v>
      </c>
      <c r="I124">
        <v>1.87</v>
      </c>
      <c r="K124" s="11">
        <f t="shared" si="7"/>
        <v>5775.7640199810094</v>
      </c>
      <c r="L124" s="11">
        <f t="shared" si="8"/>
        <v>6794.2044896242614</v>
      </c>
      <c r="M124" s="11">
        <f t="shared" si="9"/>
        <v>7389.9882813194135</v>
      </c>
      <c r="N124" s="11">
        <f t="shared" si="10"/>
        <v>7837.1564722220519</v>
      </c>
      <c r="O124" s="11">
        <f t="shared" si="11"/>
        <v>8317.5741639692624</v>
      </c>
      <c r="P124" s="11">
        <f t="shared" si="12"/>
        <v>8473.1128008354863</v>
      </c>
    </row>
    <row r="125" spans="2:16" ht="22.5" x14ac:dyDescent="0.25">
      <c r="B125" s="8" t="s">
        <v>197</v>
      </c>
      <c r="C125" s="3">
        <v>11511.560546999999</v>
      </c>
      <c r="D125" t="s">
        <v>10</v>
      </c>
      <c r="E125" t="s">
        <v>10</v>
      </c>
      <c r="F125" t="s">
        <v>10</v>
      </c>
      <c r="G125" t="s">
        <v>10</v>
      </c>
      <c r="H125" t="s">
        <v>10</v>
      </c>
      <c r="I125" t="s">
        <v>10</v>
      </c>
      <c r="K125" s="11" t="e">
        <f t="shared" si="7"/>
        <v>#VALUE!</v>
      </c>
      <c r="L125" s="11" t="e">
        <f t="shared" si="8"/>
        <v>#VALUE!</v>
      </c>
      <c r="M125" s="11" t="e">
        <f t="shared" si="9"/>
        <v>#VALUE!</v>
      </c>
      <c r="N125" s="11" t="e">
        <f t="shared" si="10"/>
        <v>#VALUE!</v>
      </c>
      <c r="O125" s="11" t="e">
        <f t="shared" si="11"/>
        <v>#VALUE!</v>
      </c>
      <c r="P125" s="11" t="e">
        <f t="shared" si="12"/>
        <v>#VALUE!</v>
      </c>
    </row>
    <row r="126" spans="2:16" x14ac:dyDescent="0.25">
      <c r="B126" s="8" t="s">
        <v>203</v>
      </c>
      <c r="C126" s="5">
        <v>12913.998496</v>
      </c>
      <c r="D126">
        <v>388.62700000000001</v>
      </c>
      <c r="E126">
        <v>3.0369999999999999</v>
      </c>
      <c r="F126">
        <v>-1.4279999999999999</v>
      </c>
      <c r="G126">
        <v>-3.9380000000000002</v>
      </c>
      <c r="H126">
        <v>1.69</v>
      </c>
      <c r="I126">
        <v>2.4300000000000002</v>
      </c>
      <c r="K126" s="11">
        <f t="shared" si="7"/>
        <v>63101.283431049917</v>
      </c>
      <c r="L126" s="11">
        <f t="shared" si="8"/>
        <v>65017.669408850903</v>
      </c>
      <c r="M126" s="11">
        <f t="shared" si="9"/>
        <v>64089.217089692516</v>
      </c>
      <c r="N126" s="11">
        <f t="shared" si="10"/>
        <v>61565.383720700425</v>
      </c>
      <c r="O126" s="11">
        <f t="shared" si="11"/>
        <v>62605.83870558026</v>
      </c>
      <c r="P126" s="11">
        <f t="shared" si="12"/>
        <v>64127.160586125858</v>
      </c>
    </row>
    <row r="127" spans="2:16" ht="22.5" x14ac:dyDescent="0.25">
      <c r="B127" s="8" t="s">
        <v>222</v>
      </c>
      <c r="C127" s="3">
        <v>3123.908179</v>
      </c>
      <c r="D127">
        <v>1.113</v>
      </c>
      <c r="E127">
        <v>6.2880000000000003</v>
      </c>
      <c r="F127">
        <v>4.282</v>
      </c>
      <c r="G127">
        <v>-5.1459999999999999</v>
      </c>
      <c r="H127">
        <v>1.343</v>
      </c>
      <c r="I127">
        <v>0.97099999999999997</v>
      </c>
      <c r="K127" s="11">
        <f t="shared" si="7"/>
        <v>3158.6772770322705</v>
      </c>
      <c r="L127" s="11">
        <f t="shared" si="8"/>
        <v>3357.2949042120599</v>
      </c>
      <c r="M127" s="11">
        <f t="shared" si="9"/>
        <v>3501.0542720104204</v>
      </c>
      <c r="N127" s="11">
        <f t="shared" si="10"/>
        <v>3320.8900191727644</v>
      </c>
      <c r="O127" s="11">
        <f t="shared" si="11"/>
        <v>3365.4895721302546</v>
      </c>
      <c r="P127" s="11">
        <f t="shared" si="12"/>
        <v>3398.1684758756396</v>
      </c>
    </row>
    <row r="128" spans="2:16" ht="22.5" x14ac:dyDescent="0.25">
      <c r="B128" s="8" t="s">
        <v>235</v>
      </c>
      <c r="C128" s="5">
        <v>39684.902016</v>
      </c>
      <c r="D128">
        <v>10.63</v>
      </c>
      <c r="E128">
        <v>9.6150000000000002</v>
      </c>
      <c r="F128">
        <v>5.617</v>
      </c>
      <c r="G128">
        <v>7.24</v>
      </c>
      <c r="H128">
        <v>7.399</v>
      </c>
      <c r="I128">
        <v>6.5389999999999997</v>
      </c>
      <c r="K128" s="11">
        <f t="shared" si="7"/>
        <v>43903.407100300799</v>
      </c>
      <c r="L128" s="11">
        <f t="shared" si="8"/>
        <v>48124.719692994717</v>
      </c>
      <c r="M128" s="11">
        <f t="shared" si="9"/>
        <v>50827.88519815023</v>
      </c>
      <c r="N128" s="11">
        <f t="shared" si="10"/>
        <v>54507.824086496308</v>
      </c>
      <c r="O128" s="11">
        <f t="shared" si="11"/>
        <v>58540.857990656172</v>
      </c>
      <c r="P128" s="11">
        <f t="shared" si="12"/>
        <v>62368.844694665182</v>
      </c>
    </row>
    <row r="129" spans="2:16" x14ac:dyDescent="0.25">
      <c r="B129" s="8" t="s">
        <v>259</v>
      </c>
      <c r="C129" s="3">
        <v>28346.364781</v>
      </c>
      <c r="D129">
        <v>-15.55</v>
      </c>
      <c r="E129">
        <v>15.111000000000001</v>
      </c>
      <c r="F129">
        <v>3.6429999999999998</v>
      </c>
      <c r="G129">
        <v>2.7970000000000002</v>
      </c>
      <c r="H129">
        <v>2.9279999999999999</v>
      </c>
      <c r="I129">
        <v>2.64</v>
      </c>
      <c r="K129" s="11">
        <f t="shared" si="7"/>
        <v>23938.505057554499</v>
      </c>
      <c r="L129" s="11">
        <f t="shared" si="8"/>
        <v>27555.852556801561</v>
      </c>
      <c r="M129" s="11">
        <f t="shared" si="9"/>
        <v>28559.71226544584</v>
      </c>
      <c r="N129" s="11">
        <f t="shared" si="10"/>
        <v>29358.527417510362</v>
      </c>
      <c r="O129" s="11">
        <f t="shared" si="11"/>
        <v>30218.145100295063</v>
      </c>
      <c r="P129" s="11">
        <f t="shared" si="12"/>
        <v>31015.904130942854</v>
      </c>
    </row>
    <row r="130" spans="2:16" ht="22.5" x14ac:dyDescent="0.25">
      <c r="B130" s="8" t="s">
        <v>261</v>
      </c>
      <c r="C130" s="5">
        <v>47763.686520000003</v>
      </c>
      <c r="D130">
        <v>9.2309999999999999</v>
      </c>
      <c r="E130">
        <v>5.7110000000000003</v>
      </c>
      <c r="F130">
        <v>8.61</v>
      </c>
      <c r="G130">
        <v>7.8120000000000003</v>
      </c>
      <c r="H130">
        <v>2.2469999999999999</v>
      </c>
      <c r="I130">
        <v>1.75</v>
      </c>
      <c r="K130" s="11">
        <f t="shared" si="7"/>
        <v>52172.7524226612</v>
      </c>
      <c r="L130" s="11">
        <f t="shared" si="8"/>
        <v>55152.33831351938</v>
      </c>
      <c r="M130" s="11">
        <f t="shared" si="9"/>
        <v>59900.954642313402</v>
      </c>
      <c r="N130" s="11">
        <f t="shared" si="10"/>
        <v>64580.417218970921</v>
      </c>
      <c r="O130" s="11">
        <f t="shared" si="11"/>
        <v>66031.539193881195</v>
      </c>
      <c r="P130" s="11">
        <f t="shared" si="12"/>
        <v>67187.091129774126</v>
      </c>
    </row>
    <row r="131" spans="2:16" x14ac:dyDescent="0.25">
      <c r="B131" s="8" t="s">
        <v>280</v>
      </c>
      <c r="C131" s="3">
        <v>28170.842505000001</v>
      </c>
      <c r="D131">
        <v>2.2519999999999998</v>
      </c>
      <c r="E131">
        <v>1.5129999999999999</v>
      </c>
      <c r="F131">
        <v>1.788</v>
      </c>
      <c r="G131">
        <v>6.4850000000000003</v>
      </c>
      <c r="H131">
        <v>7.25</v>
      </c>
      <c r="I131">
        <v>6.8860000000000001</v>
      </c>
      <c r="K131" s="11">
        <f t="shared" si="7"/>
        <v>28805.249878212602</v>
      </c>
      <c r="L131" s="11">
        <f t="shared" si="8"/>
        <v>29241.07330886996</v>
      </c>
      <c r="M131" s="11">
        <f t="shared" si="9"/>
        <v>29763.903699632552</v>
      </c>
      <c r="N131" s="11">
        <f t="shared" si="10"/>
        <v>31694.092854553724</v>
      </c>
      <c r="O131" s="11">
        <f t="shared" si="11"/>
        <v>33991.914586508872</v>
      </c>
      <c r="P131" s="11">
        <f t="shared" si="12"/>
        <v>36332.597824935867</v>
      </c>
    </row>
    <row r="132" spans="2:16" ht="33.75" x14ac:dyDescent="0.25">
      <c r="B132" s="8" t="s">
        <v>292</v>
      </c>
      <c r="C132" s="5">
        <v>123747.56937300001</v>
      </c>
      <c r="D132">
        <v>-0.13400000000000001</v>
      </c>
      <c r="E132">
        <v>6.4089999999999998</v>
      </c>
      <c r="F132">
        <v>1.742</v>
      </c>
      <c r="G132">
        <v>2.1360000000000001</v>
      </c>
      <c r="H132">
        <v>2.1160000000000001</v>
      </c>
      <c r="I132">
        <v>2.3050000000000002</v>
      </c>
      <c r="K132" s="11">
        <f t="shared" si="7"/>
        <v>123581.74763004019</v>
      </c>
      <c r="L132" s="11">
        <f t="shared" si="8"/>
        <v>131502.10183564946</v>
      </c>
      <c r="M132" s="11">
        <f t="shared" si="9"/>
        <v>133792.86844962646</v>
      </c>
      <c r="N132" s="11">
        <f t="shared" si="10"/>
        <v>136650.68411971049</v>
      </c>
      <c r="O132" s="11">
        <f t="shared" si="11"/>
        <v>139542.21259568358</v>
      </c>
      <c r="P132" s="11">
        <f t="shared" si="12"/>
        <v>142758.66059601409</v>
      </c>
    </row>
    <row r="133" spans="2:16" ht="22.5" x14ac:dyDescent="0.25">
      <c r="B133" s="8" t="s">
        <v>310</v>
      </c>
      <c r="C133" s="3">
        <v>3088.695577</v>
      </c>
      <c r="K133" s="11">
        <f t="shared" si="7"/>
        <v>3088.695577</v>
      </c>
      <c r="L133" s="11">
        <f t="shared" si="8"/>
        <v>3088.695577</v>
      </c>
      <c r="M133" s="11">
        <f t="shared" si="9"/>
        <v>3088.695577</v>
      </c>
      <c r="N133" s="11">
        <f t="shared" si="10"/>
        <v>3088.695577</v>
      </c>
      <c r="O133" s="11">
        <f t="shared" si="11"/>
        <v>3088.695577</v>
      </c>
      <c r="P133" s="11">
        <f t="shared" si="12"/>
        <v>3088.695577</v>
      </c>
    </row>
    <row r="134" spans="2:16" ht="22.5" x14ac:dyDescent="0.25">
      <c r="B134" s="8" t="s">
        <v>324</v>
      </c>
      <c r="C134" s="5">
        <v>9876.6041249999998</v>
      </c>
      <c r="K134" s="11">
        <f t="shared" ref="K134:K197" si="13">C134*(1+D134/100)</f>
        <v>9876.6041249999998</v>
      </c>
      <c r="L134" s="11">
        <f t="shared" ref="L134:L197" si="14">K134*(1+E134/100)</f>
        <v>9876.6041249999998</v>
      </c>
      <c r="M134" s="11">
        <f t="shared" ref="M134:M197" si="15">L134*(1+F134/100)</f>
        <v>9876.6041249999998</v>
      </c>
      <c r="N134" s="11">
        <f t="shared" ref="N134:N197" si="16">M134*(1+G134/100)</f>
        <v>9876.6041249999998</v>
      </c>
      <c r="O134" s="11">
        <f t="shared" ref="O134:O197" si="17">N134*(1+H134/100)</f>
        <v>9876.6041249999998</v>
      </c>
      <c r="P134" s="11">
        <f t="shared" ref="P134:P197" si="18">O134*(1+I134/100)</f>
        <v>9876.6041249999998</v>
      </c>
    </row>
    <row r="135" spans="2:16" x14ac:dyDescent="0.25">
      <c r="B135" s="8" t="s">
        <v>332</v>
      </c>
      <c r="C135" s="3">
        <v>4734.3402809999998</v>
      </c>
      <c r="D135" t="s">
        <v>10</v>
      </c>
      <c r="E135" t="s">
        <v>10</v>
      </c>
      <c r="F135" t="s">
        <v>10</v>
      </c>
      <c r="G135" t="s">
        <v>10</v>
      </c>
      <c r="H135" t="s">
        <v>10</v>
      </c>
      <c r="I135" t="s">
        <v>10</v>
      </c>
      <c r="K135" s="11" t="e">
        <f t="shared" si="13"/>
        <v>#VALUE!</v>
      </c>
      <c r="L135" s="11" t="e">
        <f t="shared" si="14"/>
        <v>#VALUE!</v>
      </c>
      <c r="M135" s="11" t="e">
        <f t="shared" si="15"/>
        <v>#VALUE!</v>
      </c>
      <c r="N135" s="11" t="e">
        <f t="shared" si="16"/>
        <v>#VALUE!</v>
      </c>
      <c r="O135" s="11" t="e">
        <f t="shared" si="17"/>
        <v>#VALUE!</v>
      </c>
      <c r="P135" s="11" t="e">
        <f t="shared" si="18"/>
        <v>#VALUE!</v>
      </c>
    </row>
    <row r="136" spans="2:16" ht="22.5" x14ac:dyDescent="0.25">
      <c r="B136" s="8" t="s">
        <v>336</v>
      </c>
      <c r="C136" s="5">
        <v>4090.6660390000002</v>
      </c>
      <c r="D136">
        <v>10.606999999999999</v>
      </c>
      <c r="E136">
        <v>-2.2749999999999999</v>
      </c>
      <c r="F136">
        <v>8.4480000000000004</v>
      </c>
      <c r="G136">
        <v>8.3390000000000004</v>
      </c>
      <c r="H136">
        <v>8.19</v>
      </c>
      <c r="I136">
        <v>7.5789999999999997</v>
      </c>
      <c r="K136" s="11">
        <f t="shared" si="13"/>
        <v>4524.5629857567301</v>
      </c>
      <c r="L136" s="11">
        <f t="shared" si="14"/>
        <v>4421.6291778307641</v>
      </c>
      <c r="M136" s="11">
        <f t="shared" si="15"/>
        <v>4795.1684107739075</v>
      </c>
      <c r="N136" s="11">
        <f t="shared" si="16"/>
        <v>5195.0375045483443</v>
      </c>
      <c r="O136" s="11">
        <f t="shared" si="17"/>
        <v>5620.5110761708538</v>
      </c>
      <c r="P136" s="11">
        <f t="shared" si="18"/>
        <v>6046.4896106338429</v>
      </c>
    </row>
    <row r="137" spans="2:16" ht="22.5" x14ac:dyDescent="0.25">
      <c r="B137" s="8" t="s">
        <v>349</v>
      </c>
      <c r="C137" s="3">
        <v>17466.183876999999</v>
      </c>
      <c r="D137">
        <v>13.8</v>
      </c>
      <c r="E137">
        <v>7.1</v>
      </c>
      <c r="F137">
        <v>4.5999999999999996</v>
      </c>
      <c r="G137">
        <v>3.5</v>
      </c>
      <c r="H137">
        <v>2.9</v>
      </c>
      <c r="I137">
        <v>3.3</v>
      </c>
      <c r="K137" s="11">
        <f t="shared" si="13"/>
        <v>19876.517252025998</v>
      </c>
      <c r="L137" s="11">
        <f t="shared" si="14"/>
        <v>21287.749976919844</v>
      </c>
      <c r="M137" s="11">
        <f t="shared" si="15"/>
        <v>22266.986475858157</v>
      </c>
      <c r="N137" s="11">
        <f t="shared" si="16"/>
        <v>23046.33100251319</v>
      </c>
      <c r="O137" s="11">
        <f t="shared" si="17"/>
        <v>23714.67460158607</v>
      </c>
      <c r="P137" s="11">
        <f t="shared" si="18"/>
        <v>24497.258863438408</v>
      </c>
    </row>
    <row r="138" spans="2:16" ht="33.75" x14ac:dyDescent="0.25">
      <c r="B138" s="8" t="s">
        <v>353</v>
      </c>
      <c r="C138" s="5">
        <v>3100.8937940000001</v>
      </c>
      <c r="D138">
        <v>20.459</v>
      </c>
      <c r="E138">
        <v>-7.7430000000000003</v>
      </c>
      <c r="F138">
        <v>0.95499999999999996</v>
      </c>
      <c r="G138">
        <v>0.89300000000000002</v>
      </c>
      <c r="H138">
        <v>0.85299999999999998</v>
      </c>
      <c r="I138">
        <v>0.82699999999999996</v>
      </c>
      <c r="K138" s="11">
        <f t="shared" si="13"/>
        <v>3735.3056553144602</v>
      </c>
      <c r="L138" s="11">
        <f t="shared" si="14"/>
        <v>3446.0809384234617</v>
      </c>
      <c r="M138" s="11">
        <f t="shared" si="15"/>
        <v>3478.9910113854057</v>
      </c>
      <c r="N138" s="11">
        <f t="shared" si="16"/>
        <v>3510.0584011170777</v>
      </c>
      <c r="O138" s="11">
        <f t="shared" si="17"/>
        <v>3539.9991992786063</v>
      </c>
      <c r="P138" s="11">
        <f t="shared" si="18"/>
        <v>3569.2749926566403</v>
      </c>
    </row>
    <row r="139" spans="2:16" ht="45" x14ac:dyDescent="0.25">
      <c r="B139" s="8" t="s">
        <v>360</v>
      </c>
      <c r="C139" s="3">
        <v>187509.44310400001</v>
      </c>
      <c r="D139">
        <v>0.28199999999999997</v>
      </c>
      <c r="E139">
        <v>4.5010000000000003</v>
      </c>
      <c r="F139">
        <v>5.2629999999999999</v>
      </c>
      <c r="G139">
        <v>4.7039999999999997</v>
      </c>
      <c r="H139">
        <v>4.3470000000000004</v>
      </c>
      <c r="I139">
        <v>4.7169999999999996</v>
      </c>
      <c r="K139" s="11">
        <f t="shared" si="13"/>
        <v>188038.2197335533</v>
      </c>
      <c r="L139" s="11">
        <f t="shared" si="14"/>
        <v>196501.82000376054</v>
      </c>
      <c r="M139" s="11">
        <f t="shared" si="15"/>
        <v>206843.71079055846</v>
      </c>
      <c r="N139" s="11">
        <f t="shared" si="16"/>
        <v>216573.63894614633</v>
      </c>
      <c r="O139" s="11">
        <f t="shared" si="17"/>
        <v>225988.09503113528</v>
      </c>
      <c r="P139" s="11">
        <f t="shared" si="18"/>
        <v>236647.95347375391</v>
      </c>
    </row>
    <row r="140" spans="2:16" ht="22.5" x14ac:dyDescent="0.25">
      <c r="B140" s="8" t="s">
        <v>368</v>
      </c>
      <c r="C140" s="5">
        <v>19717.017799000001</v>
      </c>
      <c r="D140">
        <v>6.9710000000000001</v>
      </c>
      <c r="E140">
        <v>15.87</v>
      </c>
      <c r="F140">
        <v>12.590999999999999</v>
      </c>
      <c r="G140">
        <v>11.192</v>
      </c>
      <c r="H140">
        <v>10.44</v>
      </c>
      <c r="I140">
        <v>10.938000000000001</v>
      </c>
      <c r="K140" s="11">
        <f t="shared" si="13"/>
        <v>21091.491109768289</v>
      </c>
      <c r="L140" s="11">
        <f t="shared" si="14"/>
        <v>24438.710748888519</v>
      </c>
      <c r="M140" s="11">
        <f t="shared" si="15"/>
        <v>27515.788819281071</v>
      </c>
      <c r="N140" s="11">
        <f t="shared" si="16"/>
        <v>30595.355903935011</v>
      </c>
      <c r="O140" s="11">
        <f t="shared" si="17"/>
        <v>33789.511060305827</v>
      </c>
      <c r="P140" s="11">
        <f t="shared" si="18"/>
        <v>37485.407780082081</v>
      </c>
    </row>
    <row r="141" spans="2:16" ht="45" x14ac:dyDescent="0.25">
      <c r="B141" s="8" t="s">
        <v>375</v>
      </c>
      <c r="C141" s="3">
        <v>965.83420899999999</v>
      </c>
      <c r="D141">
        <v>1.9630000000000001</v>
      </c>
      <c r="E141">
        <v>6.2439999999999998</v>
      </c>
      <c r="F141">
        <v>5.83</v>
      </c>
      <c r="G141">
        <v>4.1609999999999996</v>
      </c>
      <c r="H141">
        <v>3.2770000000000001</v>
      </c>
      <c r="I141">
        <v>2.4940000000000002</v>
      </c>
      <c r="K141" s="11">
        <f t="shared" si="13"/>
        <v>984.79353452267003</v>
      </c>
      <c r="L141" s="11">
        <f t="shared" si="14"/>
        <v>1046.2840428182656</v>
      </c>
      <c r="M141" s="11">
        <f t="shared" si="15"/>
        <v>1107.2824025145705</v>
      </c>
      <c r="N141" s="11">
        <f t="shared" si="16"/>
        <v>1153.3564232832018</v>
      </c>
      <c r="O141" s="11">
        <f t="shared" si="17"/>
        <v>1191.1519132741923</v>
      </c>
      <c r="P141" s="11">
        <f t="shared" si="18"/>
        <v>1220.8592419912507</v>
      </c>
    </row>
    <row r="142" spans="2:16" ht="22.5" x14ac:dyDescent="0.25">
      <c r="B142" s="8" t="s">
        <v>377</v>
      </c>
      <c r="C142" s="5">
        <v>10673.343923</v>
      </c>
      <c r="D142">
        <v>60.796999999999997</v>
      </c>
      <c r="E142">
        <v>6.1710000000000003</v>
      </c>
      <c r="F142">
        <v>9.2840000000000007</v>
      </c>
      <c r="G142">
        <v>49.567999999999998</v>
      </c>
      <c r="H142">
        <v>8.1720000000000006</v>
      </c>
      <c r="I142">
        <v>27.692</v>
      </c>
      <c r="K142" s="11">
        <f t="shared" si="13"/>
        <v>17162.416827866309</v>
      </c>
      <c r="L142" s="11">
        <f t="shared" si="14"/>
        <v>18221.509570313938</v>
      </c>
      <c r="M142" s="11">
        <f t="shared" si="15"/>
        <v>19913.194518821885</v>
      </c>
      <c r="N142" s="11">
        <f t="shared" si="16"/>
        <v>29783.766777911515</v>
      </c>
      <c r="O142" s="11">
        <f t="shared" si="17"/>
        <v>32217.696199002443</v>
      </c>
      <c r="P142" s="11">
        <f t="shared" si="18"/>
        <v>41139.420630430199</v>
      </c>
    </row>
    <row r="143" spans="2:16" ht="101.25" x14ac:dyDescent="0.25">
      <c r="B143" s="8" t="s">
        <v>448</v>
      </c>
      <c r="C143" s="3">
        <v>8.1431050000000003</v>
      </c>
      <c r="K143" s="11">
        <f t="shared" si="13"/>
        <v>8.1431050000000003</v>
      </c>
      <c r="L143" s="11">
        <f t="shared" si="14"/>
        <v>8.1431050000000003</v>
      </c>
      <c r="M143" s="11">
        <f t="shared" si="15"/>
        <v>8.1431050000000003</v>
      </c>
      <c r="N143" s="11">
        <f t="shared" si="16"/>
        <v>8.1431050000000003</v>
      </c>
      <c r="O143" s="11">
        <f t="shared" si="17"/>
        <v>8.1431050000000003</v>
      </c>
      <c r="P143" s="11">
        <f t="shared" si="18"/>
        <v>8.1431050000000003</v>
      </c>
    </row>
    <row r="144" spans="2:16" ht="33.75" x14ac:dyDescent="0.25">
      <c r="B144" s="7" t="s">
        <v>449</v>
      </c>
      <c r="C144" s="5">
        <v>322855.61694699997</v>
      </c>
      <c r="K144" s="11">
        <f t="shared" si="13"/>
        <v>322855.61694699997</v>
      </c>
      <c r="L144" s="11">
        <f t="shared" si="14"/>
        <v>322855.61694699997</v>
      </c>
      <c r="M144" s="11">
        <f t="shared" si="15"/>
        <v>322855.61694699997</v>
      </c>
      <c r="N144" s="11">
        <f t="shared" si="16"/>
        <v>322855.61694699997</v>
      </c>
      <c r="O144" s="11">
        <f t="shared" si="17"/>
        <v>322855.61694699997</v>
      </c>
      <c r="P144" s="11">
        <f t="shared" si="18"/>
        <v>322855.61694699997</v>
      </c>
    </row>
    <row r="145" spans="2:16" ht="22.5" x14ac:dyDescent="0.25">
      <c r="B145" s="8" t="s">
        <v>16</v>
      </c>
      <c r="C145" s="3">
        <v>7875.1106650000002</v>
      </c>
      <c r="D145">
        <v>-1.2649999999999999</v>
      </c>
      <c r="E145">
        <v>0.32700000000000001</v>
      </c>
      <c r="F145">
        <v>8.7999999999999995E-2</v>
      </c>
      <c r="G145">
        <v>1.6379999999999999</v>
      </c>
      <c r="H145">
        <v>3.7610000000000001</v>
      </c>
      <c r="I145">
        <v>-0.56399999999999995</v>
      </c>
      <c r="K145" s="11">
        <f t="shared" si="13"/>
        <v>7775.4905150877494</v>
      </c>
      <c r="L145" s="11">
        <f t="shared" si="14"/>
        <v>7800.916369072087</v>
      </c>
      <c r="M145" s="11">
        <f t="shared" si="15"/>
        <v>7807.78117547687</v>
      </c>
      <c r="N145" s="11">
        <f t="shared" si="16"/>
        <v>7935.6726311311813</v>
      </c>
      <c r="O145" s="11">
        <f t="shared" si="17"/>
        <v>8234.1332787880237</v>
      </c>
      <c r="P145" s="11">
        <f t="shared" si="18"/>
        <v>8187.6927670956593</v>
      </c>
    </row>
    <row r="146" spans="2:16" x14ac:dyDescent="0.25">
      <c r="B146" s="8" t="s">
        <v>45</v>
      </c>
      <c r="C146" s="5">
        <v>3735.0951490000002</v>
      </c>
      <c r="D146">
        <v>23.76</v>
      </c>
      <c r="E146">
        <v>12.917</v>
      </c>
      <c r="F146">
        <v>16.218</v>
      </c>
      <c r="G146">
        <v>12.065</v>
      </c>
      <c r="H146">
        <v>11.255000000000001</v>
      </c>
      <c r="I146">
        <v>10.420999999999999</v>
      </c>
      <c r="K146" s="11">
        <f t="shared" si="13"/>
        <v>4622.5537564024007</v>
      </c>
      <c r="L146" s="11">
        <f t="shared" si="14"/>
        <v>5219.6490251168989</v>
      </c>
      <c r="M146" s="11">
        <f t="shared" si="15"/>
        <v>6066.1717040103576</v>
      </c>
      <c r="N146" s="11">
        <f t="shared" si="16"/>
        <v>6798.0553200992072</v>
      </c>
      <c r="O146" s="11">
        <f t="shared" si="17"/>
        <v>7563.176446376372</v>
      </c>
      <c r="P146" s="11">
        <f t="shared" si="18"/>
        <v>8351.3350638532538</v>
      </c>
    </row>
    <row r="147" spans="2:16" ht="22.5" x14ac:dyDescent="0.25">
      <c r="B147" s="8" t="s">
        <v>53</v>
      </c>
      <c r="C147" s="3">
        <v>5559.4283379999997</v>
      </c>
      <c r="D147">
        <v>41.283000000000001</v>
      </c>
      <c r="E147">
        <v>-4.173</v>
      </c>
      <c r="F147">
        <v>3.4569999999999999</v>
      </c>
      <c r="G147">
        <v>1.778</v>
      </c>
      <c r="H147">
        <v>4.3170000000000002</v>
      </c>
      <c r="I147">
        <v>0.42299999999999999</v>
      </c>
      <c r="K147" s="11">
        <f t="shared" si="13"/>
        <v>7854.5271387765397</v>
      </c>
      <c r="L147" s="11">
        <f t="shared" si="14"/>
        <v>7526.757721275394</v>
      </c>
      <c r="M147" s="11">
        <f t="shared" si="15"/>
        <v>7786.9577356998843</v>
      </c>
      <c r="N147" s="11">
        <f t="shared" si="16"/>
        <v>7925.4098442406275</v>
      </c>
      <c r="O147" s="11">
        <f t="shared" si="17"/>
        <v>8267.5497872164942</v>
      </c>
      <c r="P147" s="11">
        <f t="shared" si="18"/>
        <v>8302.5215228164197</v>
      </c>
    </row>
    <row r="148" spans="2:16" ht="33.75" x14ac:dyDescent="0.25">
      <c r="B148" s="8" t="s">
        <v>61</v>
      </c>
      <c r="C148" s="5">
        <v>3130.7346349999998</v>
      </c>
      <c r="D148">
        <v>3.298</v>
      </c>
      <c r="E148">
        <v>5.5149999999999997</v>
      </c>
      <c r="F148">
        <v>3.827</v>
      </c>
      <c r="G148">
        <v>2.8340000000000001</v>
      </c>
      <c r="H148">
        <v>2.8929999999999998</v>
      </c>
      <c r="I148">
        <v>4.8099999999999996</v>
      </c>
      <c r="K148" s="11">
        <f t="shared" si="13"/>
        <v>3233.9862632622999</v>
      </c>
      <c r="L148" s="11">
        <f t="shared" si="14"/>
        <v>3412.3406056812159</v>
      </c>
      <c r="M148" s="11">
        <f t="shared" si="15"/>
        <v>3542.9308806606364</v>
      </c>
      <c r="N148" s="11">
        <f t="shared" si="16"/>
        <v>3643.3375418185587</v>
      </c>
      <c r="O148" s="11">
        <f t="shared" si="17"/>
        <v>3748.7392969033694</v>
      </c>
      <c r="P148" s="11">
        <f t="shared" si="18"/>
        <v>3929.0536570844215</v>
      </c>
    </row>
    <row r="149" spans="2:16" ht="22.5" x14ac:dyDescent="0.25">
      <c r="B149" s="8" t="s">
        <v>63</v>
      </c>
      <c r="C149" s="3">
        <v>674.281836</v>
      </c>
      <c r="D149">
        <v>10.815</v>
      </c>
      <c r="E149">
        <v>6.8550000000000004</v>
      </c>
      <c r="F149">
        <v>6.6719999999999997</v>
      </c>
      <c r="G149">
        <v>7.2560000000000002</v>
      </c>
      <c r="H149">
        <v>8.125</v>
      </c>
      <c r="I149">
        <v>4.7190000000000003</v>
      </c>
      <c r="K149" s="11">
        <f t="shared" si="13"/>
        <v>747.20541656339992</v>
      </c>
      <c r="L149" s="11">
        <f t="shared" si="14"/>
        <v>798.42634786882104</v>
      </c>
      <c r="M149" s="11">
        <f t="shared" si="15"/>
        <v>851.69735379862891</v>
      </c>
      <c r="N149" s="11">
        <f t="shared" si="16"/>
        <v>913.49651379025738</v>
      </c>
      <c r="O149" s="11">
        <f t="shared" si="17"/>
        <v>987.71810553571584</v>
      </c>
      <c r="P149" s="11">
        <f t="shared" si="18"/>
        <v>1034.3285229359462</v>
      </c>
    </row>
    <row r="150" spans="2:16" ht="22.5" x14ac:dyDescent="0.25">
      <c r="B150" s="8" t="s">
        <v>65</v>
      </c>
      <c r="C150" s="5">
        <v>806.71877099999995</v>
      </c>
      <c r="D150">
        <v>15.359</v>
      </c>
      <c r="E150">
        <v>9.8680000000000003</v>
      </c>
      <c r="F150">
        <v>12.871</v>
      </c>
      <c r="G150">
        <v>10.904999999999999</v>
      </c>
      <c r="H150">
        <v>11.461</v>
      </c>
      <c r="I150">
        <v>14.221</v>
      </c>
      <c r="K150" s="11">
        <f t="shared" si="13"/>
        <v>930.62270703788988</v>
      </c>
      <c r="L150" s="11">
        <f t="shared" si="14"/>
        <v>1022.456555768389</v>
      </c>
      <c r="M150" s="11">
        <f t="shared" si="15"/>
        <v>1154.0569390613382</v>
      </c>
      <c r="N150" s="11">
        <f t="shared" si="16"/>
        <v>1279.9068482659773</v>
      </c>
      <c r="O150" s="11">
        <f t="shared" si="17"/>
        <v>1426.5969721457411</v>
      </c>
      <c r="P150" s="11">
        <f t="shared" si="18"/>
        <v>1629.4733275545868</v>
      </c>
    </row>
    <row r="151" spans="2:16" ht="22.5" x14ac:dyDescent="0.25">
      <c r="B151" s="8" t="s">
        <v>69</v>
      </c>
      <c r="C151" s="3">
        <v>6209.3772529999997</v>
      </c>
      <c r="D151">
        <v>3.528</v>
      </c>
      <c r="E151">
        <v>11.797000000000001</v>
      </c>
      <c r="F151">
        <v>10.448</v>
      </c>
      <c r="G151">
        <v>9.3409999999999993</v>
      </c>
      <c r="H151">
        <v>9.5289999999999999</v>
      </c>
      <c r="I151">
        <v>8.141</v>
      </c>
      <c r="K151" s="11">
        <f t="shared" si="13"/>
        <v>6428.4440824858393</v>
      </c>
      <c r="L151" s="11">
        <f t="shared" si="14"/>
        <v>7186.8076308966929</v>
      </c>
      <c r="M151" s="11">
        <f t="shared" si="15"/>
        <v>7937.6852921727786</v>
      </c>
      <c r="N151" s="11">
        <f t="shared" si="16"/>
        <v>8679.144475314637</v>
      </c>
      <c r="O151" s="11">
        <f t="shared" si="17"/>
        <v>9506.1801523673694</v>
      </c>
      <c r="P151" s="11">
        <f t="shared" si="18"/>
        <v>10280.078278571596</v>
      </c>
    </row>
    <row r="152" spans="2:16" ht="56.25" x14ac:dyDescent="0.25">
      <c r="B152" s="8" t="s">
        <v>450</v>
      </c>
      <c r="C152" s="5">
        <v>330.27408800000001</v>
      </c>
      <c r="K152" s="11">
        <f t="shared" si="13"/>
        <v>330.27408800000001</v>
      </c>
      <c r="L152" s="11">
        <f t="shared" si="14"/>
        <v>330.27408800000001</v>
      </c>
      <c r="M152" s="11">
        <f t="shared" si="15"/>
        <v>330.27408800000001</v>
      </c>
      <c r="N152" s="11">
        <f t="shared" si="16"/>
        <v>330.27408800000001</v>
      </c>
      <c r="O152" s="11">
        <f t="shared" si="17"/>
        <v>330.27408800000001</v>
      </c>
      <c r="P152" s="11">
        <f t="shared" si="18"/>
        <v>330.27408800000001</v>
      </c>
    </row>
    <row r="153" spans="2:16" x14ac:dyDescent="0.25">
      <c r="B153" s="8" t="s">
        <v>75</v>
      </c>
      <c r="C153" s="3">
        <v>961.38316299999997</v>
      </c>
      <c r="D153">
        <v>7.5960000000000001</v>
      </c>
      <c r="E153">
        <v>1.389</v>
      </c>
      <c r="F153">
        <v>0.129</v>
      </c>
      <c r="G153">
        <v>7.0049999999999999</v>
      </c>
      <c r="H153">
        <v>6.9649999999999999</v>
      </c>
      <c r="I153">
        <v>3.0459999999999998</v>
      </c>
      <c r="K153" s="11">
        <f t="shared" si="13"/>
        <v>1034.4098280614801</v>
      </c>
      <c r="L153" s="11">
        <f t="shared" si="14"/>
        <v>1048.7777805732539</v>
      </c>
      <c r="M153" s="11">
        <f t="shared" si="15"/>
        <v>1050.1307039101935</v>
      </c>
      <c r="N153" s="11">
        <f t="shared" si="16"/>
        <v>1123.6923597191023</v>
      </c>
      <c r="O153" s="11">
        <f t="shared" si="17"/>
        <v>1201.9575325735377</v>
      </c>
      <c r="P153" s="11">
        <f t="shared" si="18"/>
        <v>1238.5691590157276</v>
      </c>
    </row>
    <row r="154" spans="2:16" ht="45" x14ac:dyDescent="0.25">
      <c r="B154" s="8" t="s">
        <v>451</v>
      </c>
      <c r="C154" s="5">
        <v>280.97163899999998</v>
      </c>
      <c r="K154" s="11">
        <f t="shared" si="13"/>
        <v>280.97163899999998</v>
      </c>
      <c r="L154" s="11">
        <f t="shared" si="14"/>
        <v>280.97163899999998</v>
      </c>
      <c r="M154" s="11">
        <f t="shared" si="15"/>
        <v>280.97163899999998</v>
      </c>
      <c r="N154" s="11">
        <f t="shared" si="16"/>
        <v>280.97163899999998</v>
      </c>
      <c r="O154" s="11">
        <f t="shared" si="17"/>
        <v>280.97163899999998</v>
      </c>
      <c r="P154" s="11">
        <f t="shared" si="18"/>
        <v>280.97163899999998</v>
      </c>
    </row>
    <row r="155" spans="2:16" ht="78.75" x14ac:dyDescent="0.25">
      <c r="B155" s="8" t="s">
        <v>85</v>
      </c>
      <c r="C155" s="3">
        <v>8211.2926260000004</v>
      </c>
      <c r="D155">
        <v>12.164999999999999</v>
      </c>
      <c r="E155">
        <v>8.6170000000000009</v>
      </c>
      <c r="F155">
        <v>8.5990000000000002</v>
      </c>
      <c r="G155">
        <v>6.8650000000000002</v>
      </c>
      <c r="H155">
        <v>7.2030000000000003</v>
      </c>
      <c r="I155">
        <v>3.4279999999999999</v>
      </c>
      <c r="K155" s="11">
        <f t="shared" si="13"/>
        <v>9210.1963739529001</v>
      </c>
      <c r="L155" s="11">
        <f t="shared" si="14"/>
        <v>10003.838995496422</v>
      </c>
      <c r="M155" s="11">
        <f t="shared" si="15"/>
        <v>10864.06911071916</v>
      </c>
      <c r="N155" s="11">
        <f t="shared" si="16"/>
        <v>11609.887455170032</v>
      </c>
      <c r="O155" s="11">
        <f t="shared" si="17"/>
        <v>12446.14764856593</v>
      </c>
      <c r="P155" s="11">
        <f t="shared" si="18"/>
        <v>12872.80158995877</v>
      </c>
    </row>
    <row r="156" spans="2:16" ht="45" x14ac:dyDescent="0.25">
      <c r="B156" s="8" t="s">
        <v>87</v>
      </c>
      <c r="C156" s="5">
        <v>2311.6206550000002</v>
      </c>
      <c r="D156">
        <v>3.0169999999999999</v>
      </c>
      <c r="E156">
        <v>0.21099999999999999</v>
      </c>
      <c r="F156">
        <v>1.1599999999999999</v>
      </c>
      <c r="G156">
        <v>6.6950000000000003</v>
      </c>
      <c r="H156">
        <v>-0.17100000000000001</v>
      </c>
      <c r="I156">
        <v>-1.0740000000000001</v>
      </c>
      <c r="K156" s="11">
        <f t="shared" si="13"/>
        <v>2381.3622501613504</v>
      </c>
      <c r="L156" s="11">
        <f t="shared" si="14"/>
        <v>2386.386924509191</v>
      </c>
      <c r="M156" s="11">
        <f t="shared" si="15"/>
        <v>2414.0690128334977</v>
      </c>
      <c r="N156" s="11">
        <f t="shared" si="16"/>
        <v>2575.6909332427003</v>
      </c>
      <c r="O156" s="11">
        <f t="shared" si="17"/>
        <v>2571.2865017468553</v>
      </c>
      <c r="P156" s="11">
        <f t="shared" si="18"/>
        <v>2543.6708847180939</v>
      </c>
    </row>
    <row r="157" spans="2:16" ht="33.75" x14ac:dyDescent="0.25">
      <c r="B157" s="8" t="s">
        <v>91</v>
      </c>
      <c r="C157" s="3">
        <v>11453.409347000001</v>
      </c>
      <c r="D157">
        <v>2.04</v>
      </c>
      <c r="E157">
        <v>5.5510000000000002</v>
      </c>
      <c r="F157">
        <v>9.2330000000000005</v>
      </c>
      <c r="G157">
        <v>9.1739999999999995</v>
      </c>
      <c r="H157">
        <v>6.8929999999999998</v>
      </c>
      <c r="I157">
        <v>6.74</v>
      </c>
      <c r="K157" s="11">
        <f t="shared" si="13"/>
        <v>11687.0588976788</v>
      </c>
      <c r="L157" s="11">
        <f t="shared" si="14"/>
        <v>12335.807537088949</v>
      </c>
      <c r="M157" s="11">
        <f t="shared" si="15"/>
        <v>13474.772646988373</v>
      </c>
      <c r="N157" s="11">
        <f t="shared" si="16"/>
        <v>14710.948289623086</v>
      </c>
      <c r="O157" s="11">
        <f t="shared" si="17"/>
        <v>15724.973955226804</v>
      </c>
      <c r="P157" s="11">
        <f t="shared" si="18"/>
        <v>16784.837199809088</v>
      </c>
    </row>
    <row r="158" spans="2:16" ht="45" x14ac:dyDescent="0.25">
      <c r="B158" s="8" t="s">
        <v>113</v>
      </c>
      <c r="C158" s="5">
        <v>838.81080499999996</v>
      </c>
      <c r="D158">
        <v>-32.597999999999999</v>
      </c>
      <c r="E158">
        <v>-12.377000000000001</v>
      </c>
      <c r="F158">
        <v>-5.9119999999999999</v>
      </c>
      <c r="G158">
        <v>-6.0640000000000001</v>
      </c>
      <c r="H158">
        <v>18.146999999999998</v>
      </c>
      <c r="I158">
        <v>-22.495000000000001</v>
      </c>
      <c r="K158" s="11">
        <f t="shared" si="13"/>
        <v>565.37525878610006</v>
      </c>
      <c r="L158" s="11">
        <f t="shared" si="14"/>
        <v>495.39876300614441</v>
      </c>
      <c r="M158" s="11">
        <f t="shared" si="15"/>
        <v>466.11078813722116</v>
      </c>
      <c r="N158" s="11">
        <f t="shared" si="16"/>
        <v>437.84582994458003</v>
      </c>
      <c r="O158" s="11">
        <f t="shared" si="17"/>
        <v>517.30171270462301</v>
      </c>
      <c r="P158" s="11">
        <f t="shared" si="18"/>
        <v>400.93469243171808</v>
      </c>
    </row>
    <row r="159" spans="2:16" ht="22.5" x14ac:dyDescent="0.25">
      <c r="B159" s="8" t="s">
        <v>115</v>
      </c>
      <c r="C159" s="3">
        <v>329.63420400000001</v>
      </c>
      <c r="D159">
        <v>9.67</v>
      </c>
      <c r="E159">
        <v>7.0069999999999997</v>
      </c>
      <c r="F159">
        <v>4.1970000000000001</v>
      </c>
      <c r="G159">
        <v>3.7719999999999998</v>
      </c>
      <c r="H159">
        <v>3.552</v>
      </c>
      <c r="I159">
        <v>3.5070000000000001</v>
      </c>
      <c r="K159" s="11">
        <f t="shared" si="13"/>
        <v>361.50983152680004</v>
      </c>
      <c r="L159" s="11">
        <f t="shared" si="14"/>
        <v>386.84082542188293</v>
      </c>
      <c r="M159" s="11">
        <f t="shared" si="15"/>
        <v>403.0765348648394</v>
      </c>
      <c r="N159" s="11">
        <f t="shared" si="16"/>
        <v>418.28058175994113</v>
      </c>
      <c r="O159" s="11">
        <f t="shared" si="17"/>
        <v>433.13790802405424</v>
      </c>
      <c r="P159" s="11">
        <f t="shared" si="18"/>
        <v>448.32805445845781</v>
      </c>
    </row>
    <row r="160" spans="2:16" ht="45" x14ac:dyDescent="0.25">
      <c r="B160" s="8" t="s">
        <v>456</v>
      </c>
      <c r="C160" s="5">
        <v>1405.1076869999999</v>
      </c>
      <c r="K160" s="11">
        <f t="shared" si="13"/>
        <v>1405.1076869999999</v>
      </c>
      <c r="L160" s="11">
        <f t="shared" si="14"/>
        <v>1405.1076869999999</v>
      </c>
      <c r="M160" s="11">
        <f t="shared" si="15"/>
        <v>1405.1076869999999</v>
      </c>
      <c r="N160" s="11">
        <f t="shared" si="16"/>
        <v>1405.1076869999999</v>
      </c>
      <c r="O160" s="11">
        <f t="shared" si="17"/>
        <v>1405.1076869999999</v>
      </c>
      <c r="P160" s="11">
        <f t="shared" si="18"/>
        <v>1405.1076869999999</v>
      </c>
    </row>
    <row r="161" spans="2:16" ht="22.5" x14ac:dyDescent="0.25">
      <c r="B161" s="8" t="s">
        <v>121</v>
      </c>
      <c r="C161" s="3">
        <v>8759.446312</v>
      </c>
      <c r="D161">
        <v>12.52</v>
      </c>
      <c r="E161" t="s">
        <v>10</v>
      </c>
      <c r="F161" t="s">
        <v>10</v>
      </c>
      <c r="G161" t="s">
        <v>10</v>
      </c>
      <c r="H161" t="s">
        <v>10</v>
      </c>
      <c r="I161" t="s">
        <v>10</v>
      </c>
      <c r="K161" s="11">
        <f t="shared" si="13"/>
        <v>9856.1289902623994</v>
      </c>
      <c r="L161" s="11" t="e">
        <f t="shared" si="14"/>
        <v>#VALUE!</v>
      </c>
      <c r="M161" s="11" t="e">
        <f t="shared" si="15"/>
        <v>#VALUE!</v>
      </c>
      <c r="N161" s="11" t="e">
        <f t="shared" si="16"/>
        <v>#VALUE!</v>
      </c>
      <c r="O161" s="11" t="e">
        <f t="shared" si="17"/>
        <v>#VALUE!</v>
      </c>
      <c r="P161" s="11" t="e">
        <f t="shared" si="18"/>
        <v>#VALUE!</v>
      </c>
    </row>
    <row r="162" spans="2:16" ht="22.5" x14ac:dyDescent="0.25">
      <c r="B162" s="8" t="s">
        <v>128</v>
      </c>
      <c r="C162" s="5">
        <v>2331.053672</v>
      </c>
      <c r="D162">
        <v>-10.641</v>
      </c>
      <c r="E162">
        <v>11.2</v>
      </c>
      <c r="F162">
        <v>4.3550000000000004</v>
      </c>
      <c r="G162">
        <v>3.3079999999999998</v>
      </c>
      <c r="H162">
        <v>3.3929999999999998</v>
      </c>
      <c r="I162">
        <v>2.5840000000000001</v>
      </c>
      <c r="K162" s="11">
        <f t="shared" si="13"/>
        <v>2083.0062507624798</v>
      </c>
      <c r="L162" s="11">
        <f t="shared" si="14"/>
        <v>2316.3029508478776</v>
      </c>
      <c r="M162" s="11">
        <f t="shared" si="15"/>
        <v>2417.1779443573027</v>
      </c>
      <c r="N162" s="11">
        <f t="shared" si="16"/>
        <v>2497.1381907566424</v>
      </c>
      <c r="O162" s="11">
        <f t="shared" si="17"/>
        <v>2581.8660895690155</v>
      </c>
      <c r="P162" s="11">
        <f t="shared" si="18"/>
        <v>2648.5815093234792</v>
      </c>
    </row>
    <row r="163" spans="2:16" ht="22.5" x14ac:dyDescent="0.25">
      <c r="B163" s="8" t="s">
        <v>458</v>
      </c>
      <c r="C163" s="3">
        <v>1466.247257</v>
      </c>
      <c r="K163" s="11">
        <f t="shared" si="13"/>
        <v>1466.247257</v>
      </c>
      <c r="L163" s="11">
        <f t="shared" si="14"/>
        <v>1466.247257</v>
      </c>
      <c r="M163" s="11">
        <f t="shared" si="15"/>
        <v>1466.247257</v>
      </c>
      <c r="N163" s="11">
        <f t="shared" si="16"/>
        <v>1466.247257</v>
      </c>
      <c r="O163" s="11">
        <f t="shared" si="17"/>
        <v>1466.247257</v>
      </c>
      <c r="P163" s="11">
        <f t="shared" si="18"/>
        <v>1466.247257</v>
      </c>
    </row>
    <row r="164" spans="2:16" ht="22.5" x14ac:dyDescent="0.25">
      <c r="B164" s="8" t="s">
        <v>136</v>
      </c>
      <c r="C164" s="5">
        <v>16628.552213999999</v>
      </c>
      <c r="D164">
        <v>-4.7560000000000002</v>
      </c>
      <c r="E164">
        <v>4.194</v>
      </c>
      <c r="F164">
        <v>1.68</v>
      </c>
      <c r="G164">
        <v>2.665</v>
      </c>
      <c r="H164">
        <v>9.3119999999999994</v>
      </c>
      <c r="I164">
        <v>5.681</v>
      </c>
      <c r="K164" s="11">
        <f t="shared" si="13"/>
        <v>15837.698270702158</v>
      </c>
      <c r="L164" s="11">
        <f t="shared" si="14"/>
        <v>16501.931336175407</v>
      </c>
      <c r="M164" s="11">
        <f t="shared" si="15"/>
        <v>16779.163782623153</v>
      </c>
      <c r="N164" s="11">
        <f t="shared" si="16"/>
        <v>17226.328497430062</v>
      </c>
      <c r="O164" s="11">
        <f t="shared" si="17"/>
        <v>18830.444207110751</v>
      </c>
      <c r="P164" s="11">
        <f t="shared" si="18"/>
        <v>19900.201742516714</v>
      </c>
    </row>
    <row r="165" spans="2:16" ht="22.5" x14ac:dyDescent="0.25">
      <c r="B165" s="8" t="s">
        <v>144</v>
      </c>
      <c r="C165" s="3">
        <v>5028.2631709999996</v>
      </c>
      <c r="D165">
        <v>-32.597999999999999</v>
      </c>
      <c r="E165">
        <v>-12.377000000000001</v>
      </c>
      <c r="F165">
        <v>-5.9119999999999999</v>
      </c>
      <c r="G165">
        <v>-6.0640000000000001</v>
      </c>
      <c r="H165">
        <v>18.146999999999998</v>
      </c>
      <c r="I165">
        <v>-22.495000000000001</v>
      </c>
      <c r="K165" s="11">
        <f t="shared" si="13"/>
        <v>3389.1499425174202</v>
      </c>
      <c r="L165" s="11">
        <f t="shared" si="14"/>
        <v>2969.6748541320389</v>
      </c>
      <c r="M165" s="11">
        <f t="shared" si="15"/>
        <v>2794.1076767557529</v>
      </c>
      <c r="N165" s="11">
        <f t="shared" si="16"/>
        <v>2624.6729872372839</v>
      </c>
      <c r="O165" s="11">
        <f t="shared" si="17"/>
        <v>3100.9723942312339</v>
      </c>
      <c r="P165" s="11">
        <f t="shared" si="18"/>
        <v>2403.4086541489178</v>
      </c>
    </row>
    <row r="166" spans="2:16" ht="45" x14ac:dyDescent="0.25">
      <c r="B166" s="8" t="s">
        <v>146</v>
      </c>
      <c r="C166" s="5">
        <v>327.43668400000001</v>
      </c>
      <c r="D166">
        <v>20.573</v>
      </c>
      <c r="E166">
        <v>-7.7119999999999997</v>
      </c>
      <c r="F166">
        <v>4.0519999999999996</v>
      </c>
      <c r="G166">
        <v>3.0840000000000001</v>
      </c>
      <c r="H166">
        <v>3.121</v>
      </c>
      <c r="I166">
        <v>2.153</v>
      </c>
      <c r="K166" s="11">
        <f t="shared" si="13"/>
        <v>394.80023299932003</v>
      </c>
      <c r="L166" s="11">
        <f t="shared" si="14"/>
        <v>364.35323903041251</v>
      </c>
      <c r="M166" s="11">
        <f t="shared" si="15"/>
        <v>379.11683227592476</v>
      </c>
      <c r="N166" s="11">
        <f t="shared" si="16"/>
        <v>390.80879538331425</v>
      </c>
      <c r="O166" s="11">
        <f t="shared" si="17"/>
        <v>403.00593788722745</v>
      </c>
      <c r="P166" s="11">
        <f t="shared" si="18"/>
        <v>411.68265572993948</v>
      </c>
    </row>
    <row r="167" spans="2:16" ht="22.5" x14ac:dyDescent="0.25">
      <c r="B167" s="8" t="s">
        <v>181</v>
      </c>
      <c r="C167" s="3">
        <v>18249.338984999999</v>
      </c>
      <c r="D167">
        <v>14.096</v>
      </c>
      <c r="E167">
        <v>9.4039999999999999</v>
      </c>
      <c r="F167">
        <v>12.143000000000001</v>
      </c>
      <c r="G167">
        <v>10.609</v>
      </c>
      <c r="H167">
        <v>10.1</v>
      </c>
      <c r="I167">
        <v>6.7690000000000001</v>
      </c>
      <c r="K167" s="11">
        <f t="shared" si="13"/>
        <v>20821.765808325599</v>
      </c>
      <c r="L167" s="11">
        <f t="shared" si="14"/>
        <v>22779.844664940538</v>
      </c>
      <c r="M167" s="11">
        <f t="shared" si="15"/>
        <v>25546.001202604264</v>
      </c>
      <c r="N167" s="11">
        <f t="shared" si="16"/>
        <v>28256.176470188551</v>
      </c>
      <c r="O167" s="11">
        <f t="shared" si="17"/>
        <v>31110.050293677596</v>
      </c>
      <c r="P167" s="11">
        <f t="shared" si="18"/>
        <v>33215.88959805663</v>
      </c>
    </row>
    <row r="168" spans="2:16" ht="45" x14ac:dyDescent="0.25">
      <c r="B168" s="8" t="s">
        <v>459</v>
      </c>
      <c r="C168" s="5">
        <v>1254.3138819999999</v>
      </c>
      <c r="K168" s="11">
        <f t="shared" si="13"/>
        <v>1254.3138819999999</v>
      </c>
      <c r="L168" s="11">
        <f t="shared" si="14"/>
        <v>1254.3138819999999</v>
      </c>
      <c r="M168" s="11">
        <f t="shared" si="15"/>
        <v>1254.3138819999999</v>
      </c>
      <c r="N168" s="11">
        <f t="shared" si="16"/>
        <v>1254.3138819999999</v>
      </c>
      <c r="O168" s="11">
        <f t="shared" si="17"/>
        <v>1254.3138819999999</v>
      </c>
      <c r="P168" s="11">
        <f t="shared" si="18"/>
        <v>1254.3138819999999</v>
      </c>
    </row>
    <row r="169" spans="2:16" ht="22.5" x14ac:dyDescent="0.25">
      <c r="B169" s="8" t="s">
        <v>201</v>
      </c>
      <c r="C169" s="3">
        <v>10312.983463</v>
      </c>
      <c r="D169">
        <v>32.441000000000003</v>
      </c>
      <c r="E169">
        <v>2.6920000000000002</v>
      </c>
      <c r="F169">
        <v>1.0609999999999999</v>
      </c>
      <c r="G169">
        <v>2.4820000000000002</v>
      </c>
      <c r="H169">
        <v>2.7330000000000001</v>
      </c>
      <c r="I169">
        <v>2.9790000000000001</v>
      </c>
      <c r="K169" s="11">
        <f t="shared" si="13"/>
        <v>13658.618428231832</v>
      </c>
      <c r="L169" s="11">
        <f t="shared" si="14"/>
        <v>14026.308436319834</v>
      </c>
      <c r="M169" s="11">
        <f t="shared" si="15"/>
        <v>14175.127568829188</v>
      </c>
      <c r="N169" s="11">
        <f t="shared" si="16"/>
        <v>14526.954235087529</v>
      </c>
      <c r="O169" s="11">
        <f t="shared" si="17"/>
        <v>14923.975894332472</v>
      </c>
      <c r="P169" s="11">
        <f t="shared" si="18"/>
        <v>15368.561136224636</v>
      </c>
    </row>
    <row r="170" spans="2:16" ht="33.75" x14ac:dyDescent="0.25">
      <c r="B170" s="8" t="s">
        <v>209</v>
      </c>
      <c r="C170" s="5">
        <v>2993.6152889999998</v>
      </c>
      <c r="D170">
        <v>2.7160000000000002</v>
      </c>
      <c r="E170">
        <v>10.435</v>
      </c>
      <c r="F170">
        <v>8.5909999999999993</v>
      </c>
      <c r="G170">
        <v>7.8380000000000001</v>
      </c>
      <c r="H170">
        <v>10.702999999999999</v>
      </c>
      <c r="I170">
        <v>6.5010000000000003</v>
      </c>
      <c r="K170" s="11">
        <f t="shared" si="13"/>
        <v>3074.9218802492401</v>
      </c>
      <c r="L170" s="11">
        <f t="shared" si="14"/>
        <v>3395.7899784532483</v>
      </c>
      <c r="M170" s="11">
        <f t="shared" si="15"/>
        <v>3687.5222955021668</v>
      </c>
      <c r="N170" s="11">
        <f t="shared" si="16"/>
        <v>3976.5502930236271</v>
      </c>
      <c r="O170" s="11">
        <f t="shared" si="17"/>
        <v>4402.1604708859459</v>
      </c>
      <c r="P170" s="11">
        <f t="shared" si="18"/>
        <v>4688.3449230982415</v>
      </c>
    </row>
    <row r="171" spans="2:16" ht="22.5" x14ac:dyDescent="0.25">
      <c r="B171" s="8" t="s">
        <v>211</v>
      </c>
      <c r="C171" s="3">
        <v>1568.3417380000001</v>
      </c>
      <c r="D171">
        <v>8.9190000000000005</v>
      </c>
      <c r="E171">
        <v>5.9930000000000003</v>
      </c>
      <c r="F171">
        <v>16.138999999999999</v>
      </c>
      <c r="G171">
        <v>16.456</v>
      </c>
      <c r="H171">
        <v>13.257999999999999</v>
      </c>
      <c r="I171">
        <v>11.885999999999999</v>
      </c>
      <c r="K171" s="11">
        <f t="shared" si="13"/>
        <v>1708.2221376122202</v>
      </c>
      <c r="L171" s="11">
        <f t="shared" si="14"/>
        <v>1810.5958903193207</v>
      </c>
      <c r="M171" s="11">
        <f t="shared" si="15"/>
        <v>2102.8079610579557</v>
      </c>
      <c r="N171" s="11">
        <f t="shared" si="16"/>
        <v>2448.846039129653</v>
      </c>
      <c r="O171" s="11">
        <f t="shared" si="17"/>
        <v>2773.5140469974622</v>
      </c>
      <c r="P171" s="11">
        <f t="shared" si="18"/>
        <v>3103.1739266235804</v>
      </c>
    </row>
    <row r="172" spans="2:16" x14ac:dyDescent="0.25">
      <c r="B172" s="8" t="s">
        <v>217</v>
      </c>
      <c r="C172" s="5">
        <v>4509.9225630000001</v>
      </c>
      <c r="D172">
        <v>-18.952999999999999</v>
      </c>
      <c r="E172">
        <v>21.629000000000001</v>
      </c>
      <c r="F172">
        <v>7.6050000000000004</v>
      </c>
      <c r="G172">
        <v>5.0990000000000002</v>
      </c>
      <c r="H172">
        <v>4.923</v>
      </c>
      <c r="I172">
        <v>4.952</v>
      </c>
      <c r="K172" s="11">
        <f t="shared" si="13"/>
        <v>3655.1569396346104</v>
      </c>
      <c r="L172" s="11">
        <f t="shared" si="14"/>
        <v>4445.7308341081807</v>
      </c>
      <c r="M172" s="11">
        <f t="shared" si="15"/>
        <v>4783.8286640421074</v>
      </c>
      <c r="N172" s="11">
        <f t="shared" si="16"/>
        <v>5027.7560876216148</v>
      </c>
      <c r="O172" s="11">
        <f t="shared" si="17"/>
        <v>5275.2725198152275</v>
      </c>
      <c r="P172" s="11">
        <f t="shared" si="18"/>
        <v>5536.504014996478</v>
      </c>
    </row>
    <row r="173" spans="2:16" ht="22.5" x14ac:dyDescent="0.25">
      <c r="B173" s="8" t="s">
        <v>224</v>
      </c>
      <c r="C173" s="3">
        <v>3942.2397030000002</v>
      </c>
      <c r="D173">
        <v>33.125999999999998</v>
      </c>
      <c r="E173">
        <v>-2.6970000000000001</v>
      </c>
      <c r="F173">
        <v>1.7190000000000001</v>
      </c>
      <c r="G173">
        <v>0.96399999999999997</v>
      </c>
      <c r="H173">
        <v>2.0019999999999998</v>
      </c>
      <c r="I173">
        <v>2.2719999999999998</v>
      </c>
      <c r="K173" s="11">
        <f t="shared" si="13"/>
        <v>5248.1460270157795</v>
      </c>
      <c r="L173" s="11">
        <f t="shared" si="14"/>
        <v>5106.603528667164</v>
      </c>
      <c r="M173" s="11">
        <f t="shared" si="15"/>
        <v>5194.3860433249529</v>
      </c>
      <c r="N173" s="11">
        <f t="shared" si="16"/>
        <v>5244.4599247826063</v>
      </c>
      <c r="O173" s="11">
        <f t="shared" si="17"/>
        <v>5349.4540124767536</v>
      </c>
      <c r="P173" s="11">
        <f t="shared" si="18"/>
        <v>5470.9936076402255</v>
      </c>
    </row>
    <row r="174" spans="2:16" ht="33.75" x14ac:dyDescent="0.25">
      <c r="B174" s="8" t="s">
        <v>237</v>
      </c>
      <c r="C174" s="5">
        <v>10881.137785000001</v>
      </c>
      <c r="D174">
        <v>-12.504</v>
      </c>
      <c r="E174">
        <v>29.166</v>
      </c>
      <c r="F174">
        <v>32.914000000000001</v>
      </c>
      <c r="G174">
        <v>2.9420000000000002</v>
      </c>
      <c r="H174">
        <v>2.0419999999999998</v>
      </c>
      <c r="I174">
        <v>28.190999999999999</v>
      </c>
      <c r="K174" s="11">
        <f t="shared" si="13"/>
        <v>9520.5603163636006</v>
      </c>
      <c r="L174" s="11">
        <f t="shared" si="14"/>
        <v>12297.326938234208</v>
      </c>
      <c r="M174" s="11">
        <f t="shared" si="15"/>
        <v>16344.869126684614</v>
      </c>
      <c r="N174" s="11">
        <f t="shared" si="16"/>
        <v>16825.735176391674</v>
      </c>
      <c r="O174" s="11">
        <f t="shared" si="17"/>
        <v>17169.316688693594</v>
      </c>
      <c r="P174" s="11">
        <f t="shared" si="18"/>
        <v>22009.518756403202</v>
      </c>
    </row>
    <row r="175" spans="2:16" ht="22.5" x14ac:dyDescent="0.25">
      <c r="B175" s="8" t="s">
        <v>241</v>
      </c>
      <c r="C175" s="3">
        <v>4177.7815860000001</v>
      </c>
      <c r="D175">
        <v>15.11</v>
      </c>
      <c r="E175">
        <v>17.440999999999999</v>
      </c>
      <c r="F175">
        <v>9.0779999999999994</v>
      </c>
      <c r="G175">
        <v>6.8220000000000001</v>
      </c>
      <c r="H175">
        <v>4.6130000000000004</v>
      </c>
      <c r="I175">
        <v>6.1310000000000002</v>
      </c>
      <c r="K175" s="11">
        <f t="shared" si="13"/>
        <v>4809.0443836446002</v>
      </c>
      <c r="L175" s="11">
        <f t="shared" si="14"/>
        <v>5647.7898145960544</v>
      </c>
      <c r="M175" s="11">
        <f t="shared" si="15"/>
        <v>6160.4961739650844</v>
      </c>
      <c r="N175" s="11">
        <f t="shared" si="16"/>
        <v>6580.7652229529822</v>
      </c>
      <c r="O175" s="11">
        <f t="shared" si="17"/>
        <v>6884.3359226878028</v>
      </c>
      <c r="P175" s="11">
        <f t="shared" si="18"/>
        <v>7306.4145581077919</v>
      </c>
    </row>
    <row r="176" spans="2:16" x14ac:dyDescent="0.25">
      <c r="B176" s="8" t="s">
        <v>251</v>
      </c>
      <c r="C176" s="5">
        <v>1560.2722369999999</v>
      </c>
      <c r="D176">
        <v>-7.87</v>
      </c>
      <c r="E176">
        <v>8.7710000000000008</v>
      </c>
      <c r="F176">
        <v>58.396999999999998</v>
      </c>
      <c r="G176">
        <v>45.636000000000003</v>
      </c>
      <c r="H176">
        <v>30.962</v>
      </c>
      <c r="I176">
        <v>1.716</v>
      </c>
      <c r="K176" s="11">
        <f t="shared" si="13"/>
        <v>1437.4788119481</v>
      </c>
      <c r="L176" s="11">
        <f t="shared" si="14"/>
        <v>1563.5600785440677</v>
      </c>
      <c r="M176" s="11">
        <f t="shared" si="15"/>
        <v>2476.6322576114467</v>
      </c>
      <c r="N176" s="11">
        <f t="shared" si="16"/>
        <v>3606.8681546950065</v>
      </c>
      <c r="O176" s="11">
        <f t="shared" si="17"/>
        <v>4723.6266727516741</v>
      </c>
      <c r="P176" s="11">
        <f t="shared" si="18"/>
        <v>4804.6841064560931</v>
      </c>
    </row>
    <row r="177" spans="2:16" ht="22.5" x14ac:dyDescent="0.25">
      <c r="B177" s="8" t="s">
        <v>253</v>
      </c>
      <c r="C177" s="3">
        <v>43899.563950000003</v>
      </c>
      <c r="D177">
        <v>-8.4740000000000002</v>
      </c>
      <c r="E177">
        <v>-0.495</v>
      </c>
      <c r="F177">
        <v>-2.077</v>
      </c>
      <c r="G177">
        <v>-4.2960000000000003</v>
      </c>
      <c r="H177">
        <v>-3.0129999999999999</v>
      </c>
      <c r="I177">
        <v>3.851</v>
      </c>
      <c r="K177" s="11">
        <f t="shared" si="13"/>
        <v>40179.514900877002</v>
      </c>
      <c r="L177" s="11">
        <f t="shared" si="14"/>
        <v>39980.626302117664</v>
      </c>
      <c r="M177" s="11">
        <f t="shared" si="15"/>
        <v>39150.228693822683</v>
      </c>
      <c r="N177" s="11">
        <f t="shared" si="16"/>
        <v>37468.334869136059</v>
      </c>
      <c r="O177" s="11">
        <f t="shared" si="17"/>
        <v>36339.413939528989</v>
      </c>
      <c r="P177" s="11">
        <f t="shared" si="18"/>
        <v>37738.844770340249</v>
      </c>
    </row>
    <row r="178" spans="2:16" ht="22.5" x14ac:dyDescent="0.25">
      <c r="B178" s="8" t="s">
        <v>286</v>
      </c>
      <c r="C178" s="5">
        <v>1709.91983</v>
      </c>
      <c r="D178">
        <v>22.222999999999999</v>
      </c>
      <c r="E178">
        <v>23.643000000000001</v>
      </c>
      <c r="F178">
        <v>20.117000000000001</v>
      </c>
      <c r="G178">
        <v>16.623999999999999</v>
      </c>
      <c r="H178">
        <v>13.494999999999999</v>
      </c>
      <c r="I178">
        <v>5.91</v>
      </c>
      <c r="K178" s="11">
        <f t="shared" si="13"/>
        <v>2089.9153138208999</v>
      </c>
      <c r="L178" s="11">
        <f t="shared" si="14"/>
        <v>2584.0339914675751</v>
      </c>
      <c r="M178" s="11">
        <f t="shared" si="15"/>
        <v>3103.8641095311073</v>
      </c>
      <c r="N178" s="11">
        <f t="shared" si="16"/>
        <v>3619.8504790995585</v>
      </c>
      <c r="O178" s="11">
        <f t="shared" si="17"/>
        <v>4108.3493012540439</v>
      </c>
      <c r="P178" s="11">
        <f t="shared" si="18"/>
        <v>4351.1527449581572</v>
      </c>
    </row>
    <row r="179" spans="2:16" ht="90" x14ac:dyDescent="0.25">
      <c r="B179" s="8" t="s">
        <v>462</v>
      </c>
      <c r="C179" s="3">
        <v>132.15978699999999</v>
      </c>
      <c r="K179" s="11">
        <f t="shared" si="13"/>
        <v>132.15978699999999</v>
      </c>
      <c r="L179" s="11">
        <f t="shared" si="14"/>
        <v>132.15978699999999</v>
      </c>
      <c r="M179" s="11">
        <f t="shared" si="15"/>
        <v>132.15978699999999</v>
      </c>
      <c r="N179" s="11">
        <f t="shared" si="16"/>
        <v>132.15978699999999</v>
      </c>
      <c r="O179" s="11">
        <f t="shared" si="17"/>
        <v>132.15978699999999</v>
      </c>
      <c r="P179" s="11">
        <f t="shared" si="18"/>
        <v>132.15978699999999</v>
      </c>
    </row>
    <row r="180" spans="2:16" ht="22.5" x14ac:dyDescent="0.25">
      <c r="B180" s="8" t="s">
        <v>294</v>
      </c>
      <c r="C180" s="5">
        <v>11099.325801999999</v>
      </c>
      <c r="D180">
        <v>2.8690000000000002</v>
      </c>
      <c r="E180">
        <v>16.187999999999999</v>
      </c>
      <c r="F180">
        <v>75.344999999999999</v>
      </c>
      <c r="G180">
        <v>23.059000000000001</v>
      </c>
      <c r="H180">
        <v>5.7649999999999997</v>
      </c>
      <c r="I180">
        <v>5.5519999999999996</v>
      </c>
      <c r="K180" s="11">
        <f t="shared" si="13"/>
        <v>11417.765459259381</v>
      </c>
      <c r="L180" s="11">
        <f t="shared" si="14"/>
        <v>13266.073331804289</v>
      </c>
      <c r="M180" s="11">
        <f t="shared" si="15"/>
        <v>23261.39628365223</v>
      </c>
      <c r="N180" s="11">
        <f t="shared" si="16"/>
        <v>28625.241652699598</v>
      </c>
      <c r="O180" s="11">
        <f t="shared" si="17"/>
        <v>30275.486833977731</v>
      </c>
      <c r="P180" s="11">
        <f t="shared" si="18"/>
        <v>31956.381863000177</v>
      </c>
    </row>
    <row r="181" spans="2:16" ht="22.5" x14ac:dyDescent="0.25">
      <c r="B181" s="8" t="s">
        <v>298</v>
      </c>
      <c r="C181" s="3">
        <v>977.85902499999997</v>
      </c>
      <c r="D181">
        <v>-7.34</v>
      </c>
      <c r="E181">
        <v>5.5060000000000002</v>
      </c>
      <c r="F181">
        <v>12.585000000000001</v>
      </c>
      <c r="G181">
        <v>6.1449999999999996</v>
      </c>
      <c r="H181">
        <v>9.7110000000000003</v>
      </c>
      <c r="I181">
        <v>6.173</v>
      </c>
      <c r="K181" s="11">
        <f t="shared" si="13"/>
        <v>906.0841725649999</v>
      </c>
      <c r="L181" s="11">
        <f t="shared" si="14"/>
        <v>955.97316710642895</v>
      </c>
      <c r="M181" s="11">
        <f t="shared" si="15"/>
        <v>1076.282390186773</v>
      </c>
      <c r="N181" s="11">
        <f t="shared" si="16"/>
        <v>1142.4199430637502</v>
      </c>
      <c r="O181" s="11">
        <f t="shared" si="17"/>
        <v>1253.360343734671</v>
      </c>
      <c r="P181" s="11">
        <f t="shared" si="18"/>
        <v>1330.7302777534123</v>
      </c>
    </row>
    <row r="182" spans="2:16" ht="22.5" x14ac:dyDescent="0.25">
      <c r="B182" s="8" t="s">
        <v>300</v>
      </c>
      <c r="C182" s="5">
        <v>1325.3914950000001</v>
      </c>
      <c r="D182">
        <v>57.442999999999998</v>
      </c>
      <c r="E182">
        <v>25.382999999999999</v>
      </c>
      <c r="F182">
        <v>14.39</v>
      </c>
      <c r="G182">
        <v>9.4030000000000005</v>
      </c>
      <c r="H182">
        <v>6.6779999999999999</v>
      </c>
      <c r="I182">
        <v>1.2490000000000001</v>
      </c>
      <c r="K182" s="11">
        <f t="shared" si="13"/>
        <v>2086.73613147285</v>
      </c>
      <c r="L182" s="11">
        <f t="shared" si="14"/>
        <v>2616.4123637246034</v>
      </c>
      <c r="M182" s="11">
        <f t="shared" si="15"/>
        <v>2992.9141028645736</v>
      </c>
      <c r="N182" s="11">
        <f t="shared" si="16"/>
        <v>3274.3378159569297</v>
      </c>
      <c r="O182" s="11">
        <f t="shared" si="17"/>
        <v>3492.9980953065337</v>
      </c>
      <c r="P182" s="11">
        <f t="shared" si="18"/>
        <v>3536.6256415169128</v>
      </c>
    </row>
    <row r="183" spans="2:16" ht="22.5" x14ac:dyDescent="0.25">
      <c r="B183" s="8" t="s">
        <v>311</v>
      </c>
      <c r="C183" s="3">
        <v>78526.961456000005</v>
      </c>
      <c r="D183">
        <v>12.2</v>
      </c>
      <c r="E183">
        <v>1.8</v>
      </c>
      <c r="F183">
        <v>3.0870000000000002</v>
      </c>
      <c r="G183">
        <v>3.137</v>
      </c>
      <c r="H183">
        <v>2.9</v>
      </c>
      <c r="I183">
        <v>2.9</v>
      </c>
      <c r="K183" s="11">
        <f t="shared" si="13"/>
        <v>88107.25075363199</v>
      </c>
      <c r="L183" s="11">
        <f t="shared" si="14"/>
        <v>89693.18126719736</v>
      </c>
      <c r="M183" s="11">
        <f t="shared" si="15"/>
        <v>92462.009772915742</v>
      </c>
      <c r="N183" s="11">
        <f t="shared" si="16"/>
        <v>95362.543019492106</v>
      </c>
      <c r="O183" s="11">
        <f t="shared" si="17"/>
        <v>98128.056767057366</v>
      </c>
      <c r="P183" s="11">
        <f t="shared" si="18"/>
        <v>100973.77041330202</v>
      </c>
    </row>
    <row r="184" spans="2:16" ht="56.25" x14ac:dyDescent="0.25">
      <c r="B184" s="8" t="s">
        <v>463</v>
      </c>
      <c r="C184" s="5">
        <v>927.74260000000004</v>
      </c>
      <c r="K184" s="11">
        <f t="shared" si="13"/>
        <v>927.74260000000004</v>
      </c>
      <c r="L184" s="11">
        <f t="shared" si="14"/>
        <v>927.74260000000004</v>
      </c>
      <c r="M184" s="11">
        <f t="shared" si="15"/>
        <v>927.74260000000004</v>
      </c>
      <c r="N184" s="11">
        <f t="shared" si="16"/>
        <v>927.74260000000004</v>
      </c>
      <c r="O184" s="11">
        <f t="shared" si="17"/>
        <v>927.74260000000004</v>
      </c>
      <c r="P184" s="11">
        <f t="shared" si="18"/>
        <v>927.74260000000004</v>
      </c>
    </row>
    <row r="185" spans="2:16" ht="22.5" x14ac:dyDescent="0.25">
      <c r="B185" s="8" t="s">
        <v>338</v>
      </c>
      <c r="C185" s="3">
        <v>11823.366855</v>
      </c>
      <c r="D185">
        <v>2.782</v>
      </c>
      <c r="E185">
        <v>3.907</v>
      </c>
      <c r="F185">
        <v>5.4850000000000003</v>
      </c>
      <c r="G185">
        <v>5.85</v>
      </c>
      <c r="H185">
        <v>6.532</v>
      </c>
      <c r="I185">
        <v>3.323</v>
      </c>
      <c r="K185" s="11">
        <f t="shared" si="13"/>
        <v>12152.2929209061</v>
      </c>
      <c r="L185" s="11">
        <f t="shared" si="14"/>
        <v>12627.083005325901</v>
      </c>
      <c r="M185" s="11">
        <f t="shared" si="15"/>
        <v>13319.678508168028</v>
      </c>
      <c r="N185" s="11">
        <f t="shared" si="16"/>
        <v>14098.879700895857</v>
      </c>
      <c r="O185" s="11">
        <f t="shared" si="17"/>
        <v>15019.818522958376</v>
      </c>
      <c r="P185" s="11">
        <f t="shared" si="18"/>
        <v>15518.927092476284</v>
      </c>
    </row>
    <row r="186" spans="2:16" x14ac:dyDescent="0.25">
      <c r="B186" s="8" t="s">
        <v>343</v>
      </c>
      <c r="C186" s="5">
        <v>10154.829411999999</v>
      </c>
      <c r="D186">
        <v>8.0619999999999994</v>
      </c>
      <c r="E186">
        <v>6.5890000000000004</v>
      </c>
      <c r="F186">
        <v>5.0490000000000004</v>
      </c>
      <c r="G186">
        <v>7.6429999999999998</v>
      </c>
      <c r="H186">
        <v>7.9080000000000004</v>
      </c>
      <c r="I186">
        <v>7.2149999999999999</v>
      </c>
      <c r="K186" s="11">
        <f t="shared" si="13"/>
        <v>10973.511759195439</v>
      </c>
      <c r="L186" s="11">
        <f t="shared" si="14"/>
        <v>11696.556449008825</v>
      </c>
      <c r="M186" s="11">
        <f t="shared" si="15"/>
        <v>12287.115584119279</v>
      </c>
      <c r="N186" s="11">
        <f t="shared" si="16"/>
        <v>13226.219828213516</v>
      </c>
      <c r="O186" s="11">
        <f t="shared" si="17"/>
        <v>14272.149292228642</v>
      </c>
      <c r="P186" s="11">
        <f t="shared" si="18"/>
        <v>15301.884863662937</v>
      </c>
    </row>
    <row r="187" spans="2:16" ht="22.5" x14ac:dyDescent="0.25">
      <c r="B187" s="8" t="s">
        <v>356</v>
      </c>
      <c r="C187" s="3">
        <v>4971.110482</v>
      </c>
      <c r="D187">
        <v>17.559000000000001</v>
      </c>
      <c r="E187">
        <v>0.35199999999999998</v>
      </c>
      <c r="F187">
        <v>1.407</v>
      </c>
      <c r="G187">
        <v>8.5779999999999994</v>
      </c>
      <c r="H187">
        <v>1.9E-2</v>
      </c>
      <c r="I187">
        <v>37.304000000000002</v>
      </c>
      <c r="K187" s="11">
        <f t="shared" si="13"/>
        <v>5843.987771534381</v>
      </c>
      <c r="L187" s="11">
        <f t="shared" si="14"/>
        <v>5864.5586084901815</v>
      </c>
      <c r="M187" s="11">
        <f t="shared" si="15"/>
        <v>5947.0729481116387</v>
      </c>
      <c r="N187" s="11">
        <f t="shared" si="16"/>
        <v>6457.2128656006544</v>
      </c>
      <c r="O187" s="11">
        <f t="shared" si="17"/>
        <v>6458.4397360451176</v>
      </c>
      <c r="P187" s="11">
        <f t="shared" si="18"/>
        <v>8867.6960951793881</v>
      </c>
    </row>
    <row r="188" spans="2:16" ht="22.5" x14ac:dyDescent="0.25">
      <c r="B188" s="8" t="s">
        <v>379</v>
      </c>
      <c r="C188" s="5">
        <v>5047.4397360000003</v>
      </c>
      <c r="D188">
        <v>-8.5139999999999993</v>
      </c>
      <c r="E188">
        <v>11.106</v>
      </c>
      <c r="F188">
        <v>8.0180000000000007</v>
      </c>
      <c r="G188">
        <v>5.0060000000000002</v>
      </c>
      <c r="H188">
        <v>8.2210000000000001</v>
      </c>
      <c r="I188">
        <v>8.9139999999999997</v>
      </c>
      <c r="K188" s="11">
        <f t="shared" si="13"/>
        <v>4617.7007168769605</v>
      </c>
      <c r="L188" s="11">
        <f t="shared" si="14"/>
        <v>5130.5425584933155</v>
      </c>
      <c r="M188" s="11">
        <f t="shared" si="15"/>
        <v>5541.9094608333089</v>
      </c>
      <c r="N188" s="11">
        <f t="shared" si="16"/>
        <v>5819.337448442624</v>
      </c>
      <c r="O188" s="11">
        <f t="shared" si="17"/>
        <v>6297.7451800790914</v>
      </c>
      <c r="P188" s="11">
        <f t="shared" si="18"/>
        <v>6859.1261854313416</v>
      </c>
    </row>
    <row r="189" spans="2:16" ht="22.5" x14ac:dyDescent="0.25">
      <c r="B189" s="8" t="s">
        <v>381</v>
      </c>
      <c r="C189" s="3">
        <v>3841.319559</v>
      </c>
      <c r="D189">
        <v>-2.8119999999999998</v>
      </c>
      <c r="E189">
        <v>4.4029999999999996</v>
      </c>
      <c r="F189">
        <v>4.4160000000000004</v>
      </c>
      <c r="G189">
        <v>3.6059999999999999</v>
      </c>
      <c r="H189">
        <v>2.8460000000000001</v>
      </c>
      <c r="I189">
        <v>1.6779999999999999</v>
      </c>
      <c r="K189" s="11">
        <f t="shared" si="13"/>
        <v>3733.3016530009199</v>
      </c>
      <c r="L189" s="11">
        <f t="shared" si="14"/>
        <v>3897.6789247825504</v>
      </c>
      <c r="M189" s="11">
        <f t="shared" si="15"/>
        <v>4069.8004261009478</v>
      </c>
      <c r="N189" s="11">
        <f t="shared" si="16"/>
        <v>4216.5574294661483</v>
      </c>
      <c r="O189" s="11">
        <f t="shared" si="17"/>
        <v>4336.5606539087548</v>
      </c>
      <c r="P189" s="11">
        <f t="shared" si="18"/>
        <v>4409.3281416813434</v>
      </c>
    </row>
    <row r="190" spans="2:16" ht="45" x14ac:dyDescent="0.25">
      <c r="B190" s="8" t="s">
        <v>465</v>
      </c>
      <c r="C190" s="5">
        <v>314.42955599999999</v>
      </c>
      <c r="K190" s="11">
        <f t="shared" si="13"/>
        <v>314.42955599999999</v>
      </c>
      <c r="L190" s="11">
        <f t="shared" si="14"/>
        <v>314.42955599999999</v>
      </c>
      <c r="M190" s="11">
        <f t="shared" si="15"/>
        <v>314.42955599999999</v>
      </c>
      <c r="N190" s="11">
        <f t="shared" si="16"/>
        <v>314.42955599999999</v>
      </c>
      <c r="O190" s="11">
        <f t="shared" si="17"/>
        <v>314.42955599999999</v>
      </c>
      <c r="P190" s="11">
        <f t="shared" si="18"/>
        <v>314.42955599999999</v>
      </c>
    </row>
    <row r="191" spans="2:16" ht="45" x14ac:dyDescent="0.25">
      <c r="B191" s="7" t="s">
        <v>466</v>
      </c>
      <c r="C191" s="3">
        <v>871491.45399399998</v>
      </c>
      <c r="K191" s="11">
        <f t="shared" si="13"/>
        <v>871491.45399399998</v>
      </c>
      <c r="L191" s="11">
        <f t="shared" si="14"/>
        <v>871491.45399399998</v>
      </c>
      <c r="M191" s="11">
        <f t="shared" si="15"/>
        <v>871491.45399399998</v>
      </c>
      <c r="N191" s="11">
        <f t="shared" si="16"/>
        <v>871491.45399399998</v>
      </c>
      <c r="O191" s="11">
        <f t="shared" si="17"/>
        <v>871491.45399399998</v>
      </c>
      <c r="P191" s="11">
        <f t="shared" si="18"/>
        <v>871491.45399399998</v>
      </c>
    </row>
    <row r="192" spans="2:16" ht="22.5" x14ac:dyDescent="0.25">
      <c r="B192" s="8" t="s">
        <v>467</v>
      </c>
      <c r="C192" s="5">
        <v>294.41271899999998</v>
      </c>
      <c r="K192" s="11">
        <f t="shared" si="13"/>
        <v>294.41271899999998</v>
      </c>
      <c r="L192" s="11">
        <f t="shared" si="14"/>
        <v>294.41271899999998</v>
      </c>
      <c r="M192" s="11">
        <f t="shared" si="15"/>
        <v>294.41271899999998</v>
      </c>
      <c r="N192" s="11">
        <f t="shared" si="16"/>
        <v>294.41271899999998</v>
      </c>
      <c r="O192" s="11">
        <f t="shared" si="17"/>
        <v>294.41271899999998</v>
      </c>
      <c r="P192" s="11">
        <f t="shared" si="18"/>
        <v>294.41271899999998</v>
      </c>
    </row>
    <row r="193" spans="2:16" ht="56.25" x14ac:dyDescent="0.25">
      <c r="B193" s="8" t="s">
        <v>18</v>
      </c>
      <c r="C193" s="3">
        <v>850.09839299999999</v>
      </c>
      <c r="D193">
        <v>-21.965</v>
      </c>
      <c r="E193">
        <v>3.5230000000000001</v>
      </c>
      <c r="F193">
        <v>9.02</v>
      </c>
      <c r="G193">
        <v>5.1139999999999999</v>
      </c>
      <c r="H193">
        <v>0.65500000000000003</v>
      </c>
      <c r="I193">
        <v>2.234</v>
      </c>
      <c r="K193" s="11">
        <f t="shared" si="13"/>
        <v>663.37428097755003</v>
      </c>
      <c r="L193" s="11">
        <f t="shared" si="14"/>
        <v>686.74495689638923</v>
      </c>
      <c r="M193" s="11">
        <f t="shared" si="15"/>
        <v>748.68935200844362</v>
      </c>
      <c r="N193" s="11">
        <f t="shared" si="16"/>
        <v>786.97732547015539</v>
      </c>
      <c r="O193" s="11">
        <f t="shared" si="17"/>
        <v>792.13202695198493</v>
      </c>
      <c r="P193" s="11">
        <f t="shared" si="18"/>
        <v>809.82825643409228</v>
      </c>
    </row>
    <row r="194" spans="2:16" ht="22.5" x14ac:dyDescent="0.25">
      <c r="B194" s="8" t="s">
        <v>20</v>
      </c>
      <c r="C194" s="5">
        <v>40496.080295</v>
      </c>
      <c r="D194">
        <v>6.8019999999999996</v>
      </c>
      <c r="E194">
        <v>6.9809999999999999</v>
      </c>
      <c r="F194">
        <v>5.6680000000000001</v>
      </c>
      <c r="G194">
        <v>4.6539999999999999</v>
      </c>
      <c r="H194">
        <v>3.6739999999999999</v>
      </c>
      <c r="I194">
        <v>3.5630000000000002</v>
      </c>
      <c r="K194" s="11">
        <f t="shared" si="13"/>
        <v>43250.623676665899</v>
      </c>
      <c r="L194" s="11">
        <f t="shared" si="14"/>
        <v>46269.949715533941</v>
      </c>
      <c r="M194" s="11">
        <f t="shared" si="15"/>
        <v>48892.530465410411</v>
      </c>
      <c r="N194" s="11">
        <f t="shared" si="16"/>
        <v>51167.98883327061</v>
      </c>
      <c r="O194" s="11">
        <f t="shared" si="17"/>
        <v>53047.900743004975</v>
      </c>
      <c r="P194" s="11">
        <f t="shared" si="18"/>
        <v>54937.997446478243</v>
      </c>
    </row>
    <row r="195" spans="2:16" ht="78.75" x14ac:dyDescent="0.25">
      <c r="B195" s="8" t="s">
        <v>468</v>
      </c>
      <c r="C195" s="3">
        <v>1062.9439950000001</v>
      </c>
      <c r="K195" s="11">
        <f t="shared" si="13"/>
        <v>1062.9439950000001</v>
      </c>
      <c r="L195" s="11">
        <f t="shared" si="14"/>
        <v>1062.9439950000001</v>
      </c>
      <c r="M195" s="11">
        <f t="shared" si="15"/>
        <v>1062.9439950000001</v>
      </c>
      <c r="N195" s="11">
        <f t="shared" si="16"/>
        <v>1062.9439950000001</v>
      </c>
      <c r="O195" s="11">
        <f t="shared" si="17"/>
        <v>1062.9439950000001</v>
      </c>
      <c r="P195" s="11">
        <f t="shared" si="18"/>
        <v>1062.9439950000001</v>
      </c>
    </row>
    <row r="196" spans="2:16" ht="33.75" x14ac:dyDescent="0.25">
      <c r="B196" s="8" t="s">
        <v>469</v>
      </c>
      <c r="C196" s="5">
        <v>5485.529493</v>
      </c>
      <c r="K196" s="11">
        <f t="shared" si="13"/>
        <v>5485.529493</v>
      </c>
      <c r="L196" s="11">
        <f t="shared" si="14"/>
        <v>5485.529493</v>
      </c>
      <c r="M196" s="11">
        <f t="shared" si="15"/>
        <v>5485.529493</v>
      </c>
      <c r="N196" s="11">
        <f t="shared" si="16"/>
        <v>5485.529493</v>
      </c>
      <c r="O196" s="11">
        <f t="shared" si="17"/>
        <v>5485.529493</v>
      </c>
      <c r="P196" s="11">
        <f t="shared" si="18"/>
        <v>5485.529493</v>
      </c>
    </row>
    <row r="197" spans="2:16" ht="22.5" x14ac:dyDescent="0.25">
      <c r="B197" s="8" t="s">
        <v>37</v>
      </c>
      <c r="C197" s="3">
        <v>1399.725365</v>
      </c>
      <c r="D197">
        <v>11.972</v>
      </c>
      <c r="E197">
        <v>8.5009999999999994</v>
      </c>
      <c r="F197">
        <v>5.6820000000000004</v>
      </c>
      <c r="G197">
        <v>4.125</v>
      </c>
      <c r="H197">
        <v>2.5779999999999998</v>
      </c>
      <c r="I197">
        <v>2.0920000000000001</v>
      </c>
      <c r="K197" s="11">
        <f t="shared" si="13"/>
        <v>1567.3004856978</v>
      </c>
      <c r="L197" s="11">
        <f t="shared" si="14"/>
        <v>1700.53669998697</v>
      </c>
      <c r="M197" s="11">
        <f t="shared" si="15"/>
        <v>1797.1611952802298</v>
      </c>
      <c r="N197" s="11">
        <f t="shared" si="16"/>
        <v>1871.2940945855394</v>
      </c>
      <c r="O197" s="11">
        <f t="shared" si="17"/>
        <v>1919.5360563439544</v>
      </c>
      <c r="P197" s="11">
        <f t="shared" si="18"/>
        <v>1959.69275064267</v>
      </c>
    </row>
    <row r="198" spans="2:16" x14ac:dyDescent="0.25">
      <c r="B198" s="8" t="s">
        <v>43</v>
      </c>
      <c r="C198" s="5">
        <v>972.96994900000004</v>
      </c>
      <c r="D198">
        <v>23.69</v>
      </c>
      <c r="E198">
        <v>18.768999999999998</v>
      </c>
      <c r="F198">
        <v>12.834</v>
      </c>
      <c r="G198">
        <v>1.794</v>
      </c>
      <c r="H198">
        <v>2</v>
      </c>
      <c r="I198">
        <v>2</v>
      </c>
      <c r="K198" s="11">
        <f t="shared" ref="K198:K244" si="19">C198*(1+D198/100)</f>
        <v>1203.4665299180999</v>
      </c>
      <c r="L198" s="11">
        <f t="shared" ref="L198:L244" si="20">K198*(1+E198/100)</f>
        <v>1429.3451629184281</v>
      </c>
      <c r="M198" s="11">
        <f t="shared" ref="M198:M244" si="21">L198*(1+F198/100)</f>
        <v>1612.7873211273793</v>
      </c>
      <c r="N198" s="11">
        <f t="shared" ref="N198:N244" si="22">M198*(1+G198/100)</f>
        <v>1641.7207256684046</v>
      </c>
      <c r="O198" s="11">
        <f t="shared" ref="O198:O244" si="23">N198*(1+H198/100)</f>
        <v>1674.5551401817727</v>
      </c>
      <c r="P198" s="11">
        <f t="shared" ref="P198:P244" si="24">O198*(1+I198/100)</f>
        <v>1708.0462429854081</v>
      </c>
    </row>
    <row r="199" spans="2:16" ht="22.5" x14ac:dyDescent="0.25">
      <c r="B199" s="8" t="s">
        <v>470</v>
      </c>
      <c r="C199" s="3">
        <v>2491.869162</v>
      </c>
      <c r="K199" s="11">
        <f t="shared" si="19"/>
        <v>2491.869162</v>
      </c>
      <c r="L199" s="11">
        <f t="shared" si="20"/>
        <v>2491.869162</v>
      </c>
      <c r="M199" s="11">
        <f t="shared" si="21"/>
        <v>2491.869162</v>
      </c>
      <c r="N199" s="11">
        <f t="shared" si="22"/>
        <v>2491.869162</v>
      </c>
      <c r="O199" s="11">
        <f t="shared" si="23"/>
        <v>2491.869162</v>
      </c>
      <c r="P199" s="11">
        <f t="shared" si="24"/>
        <v>2491.869162</v>
      </c>
    </row>
    <row r="200" spans="2:16" ht="22.5" x14ac:dyDescent="0.25">
      <c r="B200" s="8" t="s">
        <v>49</v>
      </c>
      <c r="C200" s="5">
        <v>5409.3444239999999</v>
      </c>
      <c r="D200">
        <v>5.532</v>
      </c>
      <c r="E200">
        <v>2.2930000000000001</v>
      </c>
      <c r="F200">
        <v>3.1320000000000001</v>
      </c>
      <c r="G200">
        <v>1.181</v>
      </c>
      <c r="H200">
        <v>2.9940000000000002</v>
      </c>
      <c r="I200">
        <v>3.2549999999999999</v>
      </c>
      <c r="K200" s="11">
        <f t="shared" si="19"/>
        <v>5708.5893575356804</v>
      </c>
      <c r="L200" s="11">
        <f t="shared" si="20"/>
        <v>5839.4873115039727</v>
      </c>
      <c r="M200" s="11">
        <f t="shared" si="21"/>
        <v>6022.3800541002774</v>
      </c>
      <c r="N200" s="11">
        <f t="shared" si="22"/>
        <v>6093.5043625392027</v>
      </c>
      <c r="O200" s="11">
        <f t="shared" si="23"/>
        <v>6275.9438831536272</v>
      </c>
      <c r="P200" s="11">
        <f t="shared" si="24"/>
        <v>6480.225856550278</v>
      </c>
    </row>
    <row r="201" spans="2:16" x14ac:dyDescent="0.25">
      <c r="B201" s="8" t="s">
        <v>55</v>
      </c>
      <c r="C201" s="3">
        <v>163120.33698600001</v>
      </c>
      <c r="D201">
        <v>8.4450000000000003</v>
      </c>
      <c r="E201">
        <v>2.883</v>
      </c>
      <c r="F201">
        <v>3.6930000000000001</v>
      </c>
      <c r="G201">
        <v>3.226</v>
      </c>
      <c r="H201">
        <v>4.2089999999999996</v>
      </c>
      <c r="I201">
        <v>4.1719999999999997</v>
      </c>
      <c r="K201" s="11">
        <f t="shared" si="19"/>
        <v>176895.84944446769</v>
      </c>
      <c r="L201" s="11">
        <f t="shared" si="20"/>
        <v>181995.75678395169</v>
      </c>
      <c r="M201" s="11">
        <f t="shared" si="21"/>
        <v>188716.860081983</v>
      </c>
      <c r="N201" s="11">
        <f t="shared" si="22"/>
        <v>194804.86598822777</v>
      </c>
      <c r="O201" s="11">
        <f t="shared" si="23"/>
        <v>203004.20279767227</v>
      </c>
      <c r="P201" s="11">
        <f t="shared" si="24"/>
        <v>211473.53813839116</v>
      </c>
    </row>
    <row r="202" spans="2:16" x14ac:dyDescent="0.25">
      <c r="B202" s="8" t="s">
        <v>77</v>
      </c>
      <c r="C202" s="5">
        <v>57524.801476000001</v>
      </c>
      <c r="D202">
        <v>8.1000000000000003E-2</v>
      </c>
      <c r="E202">
        <v>4.9960000000000004</v>
      </c>
      <c r="F202">
        <v>3.4820000000000002</v>
      </c>
      <c r="G202">
        <v>2.8039999999999998</v>
      </c>
      <c r="H202">
        <v>2.6920000000000002</v>
      </c>
      <c r="I202">
        <v>2.694</v>
      </c>
      <c r="K202" s="11">
        <f t="shared" si="19"/>
        <v>57571.396565195559</v>
      </c>
      <c r="L202" s="11">
        <f t="shared" si="20"/>
        <v>60447.663537592729</v>
      </c>
      <c r="M202" s="11">
        <f t="shared" si="21"/>
        <v>62552.451181971715</v>
      </c>
      <c r="N202" s="11">
        <f t="shared" si="22"/>
        <v>64306.421913114209</v>
      </c>
      <c r="O202" s="11">
        <f t="shared" si="23"/>
        <v>66037.550791015252</v>
      </c>
      <c r="P202" s="11">
        <f t="shared" si="24"/>
        <v>67816.602409325205</v>
      </c>
    </row>
    <row r="203" spans="2:16" ht="22.5" x14ac:dyDescent="0.25">
      <c r="B203" s="8" t="s">
        <v>81</v>
      </c>
      <c r="C203" s="3">
        <v>41616.095882000001</v>
      </c>
      <c r="D203">
        <v>0.49399999999999999</v>
      </c>
      <c r="E203">
        <v>12.317</v>
      </c>
      <c r="F203">
        <v>4.8390000000000004</v>
      </c>
      <c r="G203">
        <v>2.625</v>
      </c>
      <c r="H203">
        <v>3.2869999999999999</v>
      </c>
      <c r="I203">
        <v>3.3879999999999999</v>
      </c>
      <c r="K203" s="11">
        <f t="shared" si="19"/>
        <v>41821.679395657076</v>
      </c>
      <c r="L203" s="11">
        <f t="shared" si="20"/>
        <v>46972.855646820157</v>
      </c>
      <c r="M203" s="11">
        <f t="shared" si="21"/>
        <v>49245.872131569784</v>
      </c>
      <c r="N203" s="11">
        <f t="shared" si="22"/>
        <v>50538.576275023494</v>
      </c>
      <c r="O203" s="11">
        <f t="shared" si="23"/>
        <v>52199.779277183516</v>
      </c>
      <c r="P203" s="11">
        <f t="shared" si="24"/>
        <v>53968.307799094488</v>
      </c>
    </row>
    <row r="204" spans="2:16" ht="22.5" x14ac:dyDescent="0.25">
      <c r="B204" s="8" t="s">
        <v>89</v>
      </c>
      <c r="C204" s="5">
        <v>12732.091571000001</v>
      </c>
      <c r="D204">
        <v>27.852</v>
      </c>
      <c r="E204">
        <v>4.8529999999999998</v>
      </c>
      <c r="F204">
        <v>4.8689999999999998</v>
      </c>
      <c r="G204">
        <v>4.665</v>
      </c>
      <c r="H204">
        <v>5.4139999999999997</v>
      </c>
      <c r="I204">
        <v>5.1589999999999998</v>
      </c>
      <c r="K204" s="11">
        <f t="shared" si="19"/>
        <v>16278.23371535492</v>
      </c>
      <c r="L204" s="11">
        <f t="shared" si="20"/>
        <v>17068.216397561093</v>
      </c>
      <c r="M204" s="11">
        <f t="shared" si="21"/>
        <v>17899.267853958339</v>
      </c>
      <c r="N204" s="11">
        <f t="shared" si="22"/>
        <v>18734.268699345499</v>
      </c>
      <c r="O204" s="11">
        <f t="shared" si="23"/>
        <v>19748.542006728065</v>
      </c>
      <c r="P204" s="11">
        <f t="shared" si="24"/>
        <v>20767.369288855167</v>
      </c>
    </row>
    <row r="205" spans="2:16" ht="78.75" x14ac:dyDescent="0.25">
      <c r="B205" s="8" t="s">
        <v>471</v>
      </c>
      <c r="C205" s="3">
        <v>946.34816699999999</v>
      </c>
      <c r="K205" s="11">
        <f t="shared" si="19"/>
        <v>946.34816699999999</v>
      </c>
      <c r="L205" s="11">
        <f t="shared" si="20"/>
        <v>946.34816699999999</v>
      </c>
      <c r="M205" s="11">
        <f t="shared" si="21"/>
        <v>946.34816699999999</v>
      </c>
      <c r="N205" s="11">
        <f t="shared" si="22"/>
        <v>946.34816699999999</v>
      </c>
      <c r="O205" s="11">
        <f t="shared" si="23"/>
        <v>946.34816699999999</v>
      </c>
      <c r="P205" s="11">
        <f t="shared" si="24"/>
        <v>946.34816699999999</v>
      </c>
    </row>
    <row r="206" spans="2:16" ht="22.5" x14ac:dyDescent="0.25">
      <c r="B206" s="8" t="s">
        <v>103</v>
      </c>
      <c r="C206" s="5">
        <v>262.74281300000001</v>
      </c>
      <c r="D206">
        <v>14.920999999999999</v>
      </c>
      <c r="E206">
        <v>9.3819999999999997</v>
      </c>
      <c r="F206">
        <v>7.4749999999999996</v>
      </c>
      <c r="G206">
        <v>6.69</v>
      </c>
      <c r="H206">
        <v>6.173</v>
      </c>
      <c r="I206">
        <v>4.34</v>
      </c>
      <c r="K206" s="11">
        <f t="shared" si="19"/>
        <v>301.94666812773005</v>
      </c>
      <c r="L206" s="11">
        <f t="shared" si="20"/>
        <v>330.27530453147369</v>
      </c>
      <c r="M206" s="11">
        <f t="shared" si="21"/>
        <v>354.9633835452014</v>
      </c>
      <c r="N206" s="11">
        <f t="shared" si="22"/>
        <v>378.71043390437535</v>
      </c>
      <c r="O206" s="11">
        <f t="shared" si="23"/>
        <v>402.08822898929247</v>
      </c>
      <c r="P206" s="11">
        <f t="shared" si="24"/>
        <v>419.53885812742783</v>
      </c>
    </row>
    <row r="207" spans="2:16" ht="33.75" x14ac:dyDescent="0.25">
      <c r="B207" s="8" t="s">
        <v>472</v>
      </c>
      <c r="C207" s="3">
        <v>16098.418808</v>
      </c>
      <c r="K207" s="11">
        <f t="shared" si="19"/>
        <v>16098.418808</v>
      </c>
      <c r="L207" s="11">
        <f t="shared" si="20"/>
        <v>16098.418808</v>
      </c>
      <c r="M207" s="11">
        <f t="shared" si="21"/>
        <v>16098.418808</v>
      </c>
      <c r="N207" s="11">
        <f t="shared" si="22"/>
        <v>16098.418808</v>
      </c>
      <c r="O207" s="11">
        <f t="shared" si="23"/>
        <v>16098.418808</v>
      </c>
      <c r="P207" s="11">
        <f t="shared" si="24"/>
        <v>16098.418808</v>
      </c>
    </row>
    <row r="208" spans="2:16" ht="22.5" x14ac:dyDescent="0.25">
      <c r="B208" s="8" t="s">
        <v>107</v>
      </c>
      <c r="C208" s="5">
        <v>15756.874432000001</v>
      </c>
      <c r="D208">
        <v>-1.617</v>
      </c>
      <c r="E208">
        <v>5.3419999999999996</v>
      </c>
      <c r="F208">
        <v>3.9969999999999999</v>
      </c>
      <c r="G208">
        <v>2.6040000000000001</v>
      </c>
      <c r="H208">
        <v>2.976</v>
      </c>
      <c r="I208">
        <v>2.867</v>
      </c>
      <c r="K208" s="11">
        <f t="shared" si="19"/>
        <v>15502.085772434561</v>
      </c>
      <c r="L208" s="11">
        <f t="shared" si="20"/>
        <v>16330.207194398015</v>
      </c>
      <c r="M208" s="11">
        <f t="shared" si="21"/>
        <v>16982.925575958106</v>
      </c>
      <c r="N208" s="11">
        <f t="shared" si="22"/>
        <v>17425.160957956057</v>
      </c>
      <c r="O208" s="11">
        <f t="shared" si="23"/>
        <v>17943.733748064831</v>
      </c>
      <c r="P208" s="11">
        <f t="shared" si="24"/>
        <v>18458.180594621848</v>
      </c>
    </row>
    <row r="209" spans="2:16" ht="33.75" x14ac:dyDescent="0.25">
      <c r="B209" s="8" t="s">
        <v>111</v>
      </c>
      <c r="C209" s="3">
        <v>8609.8036269999993</v>
      </c>
      <c r="D209">
        <v>15.159000000000001</v>
      </c>
      <c r="E209">
        <v>10.145</v>
      </c>
      <c r="F209">
        <v>5.3719999999999999</v>
      </c>
      <c r="G209">
        <v>4.492</v>
      </c>
      <c r="H209">
        <v>4.49</v>
      </c>
      <c r="I209">
        <v>3.968</v>
      </c>
      <c r="K209" s="11">
        <f t="shared" si="19"/>
        <v>9914.9637588169298</v>
      </c>
      <c r="L209" s="11">
        <f t="shared" si="20"/>
        <v>10920.836832148907</v>
      </c>
      <c r="M209" s="11">
        <f t="shared" si="21"/>
        <v>11507.504186771946</v>
      </c>
      <c r="N209" s="11">
        <f t="shared" si="22"/>
        <v>12024.421274841743</v>
      </c>
      <c r="O209" s="11">
        <f t="shared" si="23"/>
        <v>12564.317790082137</v>
      </c>
      <c r="P209" s="11">
        <f t="shared" si="24"/>
        <v>13062.869919992596</v>
      </c>
    </row>
    <row r="210" spans="2:16" ht="67.5" x14ac:dyDescent="0.25">
      <c r="B210" s="8" t="s">
        <v>473</v>
      </c>
      <c r="C210" s="5">
        <v>114.14725300000001</v>
      </c>
      <c r="K210" s="11">
        <f t="shared" si="19"/>
        <v>114.14725300000001</v>
      </c>
      <c r="L210" s="11">
        <f t="shared" si="20"/>
        <v>114.14725300000001</v>
      </c>
      <c r="M210" s="11">
        <f t="shared" si="21"/>
        <v>114.14725300000001</v>
      </c>
      <c r="N210" s="11">
        <f t="shared" si="22"/>
        <v>114.14725300000001</v>
      </c>
      <c r="O210" s="11">
        <f t="shared" si="23"/>
        <v>114.14725300000001</v>
      </c>
      <c r="P210" s="11">
        <f t="shared" si="24"/>
        <v>114.14725300000001</v>
      </c>
    </row>
    <row r="211" spans="2:16" ht="22.5" x14ac:dyDescent="0.25">
      <c r="B211" s="8" t="s">
        <v>474</v>
      </c>
      <c r="C211" s="3">
        <v>822.88964899999996</v>
      </c>
      <c r="K211" s="11">
        <f t="shared" si="19"/>
        <v>822.88964899999996</v>
      </c>
      <c r="L211" s="11">
        <f t="shared" si="20"/>
        <v>822.88964899999996</v>
      </c>
      <c r="M211" s="11">
        <f t="shared" si="21"/>
        <v>822.88964899999996</v>
      </c>
      <c r="N211" s="11">
        <f t="shared" si="22"/>
        <v>822.88964899999996</v>
      </c>
      <c r="O211" s="11">
        <f t="shared" si="23"/>
        <v>822.88964899999996</v>
      </c>
      <c r="P211" s="11">
        <f t="shared" si="24"/>
        <v>822.88964899999996</v>
      </c>
    </row>
    <row r="212" spans="2:16" ht="22.5" x14ac:dyDescent="0.25">
      <c r="B212" s="8" t="s">
        <v>140</v>
      </c>
      <c r="C212" s="5">
        <v>319.99259699999999</v>
      </c>
      <c r="D212">
        <v>11.666</v>
      </c>
      <c r="E212">
        <v>5.556</v>
      </c>
      <c r="F212">
        <v>-0.91900000000000004</v>
      </c>
      <c r="G212">
        <v>0.60899999999999999</v>
      </c>
      <c r="H212">
        <v>0.84499999999999997</v>
      </c>
      <c r="I212">
        <v>0.746</v>
      </c>
      <c r="K212" s="11">
        <f t="shared" si="19"/>
        <v>357.32293336601998</v>
      </c>
      <c r="L212" s="11">
        <f t="shared" si="20"/>
        <v>377.17579554383605</v>
      </c>
      <c r="M212" s="11">
        <f t="shared" si="21"/>
        <v>373.70954998278819</v>
      </c>
      <c r="N212" s="11">
        <f t="shared" si="22"/>
        <v>375.98544114218333</v>
      </c>
      <c r="O212" s="11">
        <f t="shared" si="23"/>
        <v>379.16251811983483</v>
      </c>
      <c r="P212" s="11">
        <f t="shared" si="24"/>
        <v>381.99107050500879</v>
      </c>
    </row>
    <row r="213" spans="2:16" ht="22.5" x14ac:dyDescent="0.25">
      <c r="B213" s="8" t="s">
        <v>142</v>
      </c>
      <c r="C213" s="3">
        <v>15893.636553</v>
      </c>
      <c r="D213">
        <v>6</v>
      </c>
      <c r="E213">
        <v>4.5999999999999996</v>
      </c>
      <c r="F213">
        <v>2.8</v>
      </c>
      <c r="G213">
        <v>2.1</v>
      </c>
      <c r="H213">
        <v>2.1</v>
      </c>
      <c r="I213">
        <v>2.1</v>
      </c>
      <c r="K213" s="11">
        <f t="shared" si="19"/>
        <v>16847.254746180002</v>
      </c>
      <c r="L213" s="11">
        <f t="shared" si="20"/>
        <v>17622.228464504282</v>
      </c>
      <c r="M213" s="11">
        <f t="shared" si="21"/>
        <v>18115.650861510403</v>
      </c>
      <c r="N213" s="11">
        <f t="shared" si="22"/>
        <v>18496.079529602121</v>
      </c>
      <c r="O213" s="11">
        <f t="shared" si="23"/>
        <v>18884.497199723763</v>
      </c>
      <c r="P213" s="11">
        <f t="shared" si="24"/>
        <v>19281.071640917959</v>
      </c>
    </row>
    <row r="214" spans="2:16" ht="22.5" x14ac:dyDescent="0.25">
      <c r="B214" s="8" t="s">
        <v>148</v>
      </c>
      <c r="C214" s="5">
        <v>2424.1214759999998</v>
      </c>
      <c r="D214">
        <v>16.271000000000001</v>
      </c>
      <c r="E214">
        <v>54.932000000000002</v>
      </c>
      <c r="F214">
        <v>45.377000000000002</v>
      </c>
      <c r="G214">
        <v>4.8390000000000004</v>
      </c>
      <c r="H214">
        <v>3.79</v>
      </c>
      <c r="I214">
        <v>3.7010000000000001</v>
      </c>
      <c r="K214" s="11">
        <f t="shared" si="19"/>
        <v>2818.5502813599601</v>
      </c>
      <c r="L214" s="11">
        <f t="shared" si="20"/>
        <v>4366.8363219166131</v>
      </c>
      <c r="M214" s="11">
        <f t="shared" si="21"/>
        <v>6348.3756397127145</v>
      </c>
      <c r="N214" s="11">
        <f t="shared" si="22"/>
        <v>6655.5735369184122</v>
      </c>
      <c r="O214" s="11">
        <f t="shared" si="23"/>
        <v>6907.8197739676207</v>
      </c>
      <c r="P214" s="11">
        <f t="shared" si="24"/>
        <v>7163.4781838021627</v>
      </c>
    </row>
    <row r="215" spans="2:16" x14ac:dyDescent="0.25">
      <c r="B215" s="8" t="s">
        <v>150</v>
      </c>
      <c r="C215" s="3">
        <v>4171.6188920000004</v>
      </c>
      <c r="D215">
        <v>7.0410000000000004</v>
      </c>
      <c r="E215">
        <v>3.8610000000000002</v>
      </c>
      <c r="F215">
        <v>1.9390000000000001</v>
      </c>
      <c r="G215">
        <v>1.204</v>
      </c>
      <c r="H215">
        <v>1.7</v>
      </c>
      <c r="I215">
        <v>0.84799999999999998</v>
      </c>
      <c r="K215" s="11">
        <f t="shared" si="19"/>
        <v>4465.3425781857204</v>
      </c>
      <c r="L215" s="11">
        <f t="shared" si="20"/>
        <v>4637.7494551294712</v>
      </c>
      <c r="M215" s="11">
        <f t="shared" si="21"/>
        <v>4727.6754170644317</v>
      </c>
      <c r="N215" s="11">
        <f t="shared" si="22"/>
        <v>4784.5966290858878</v>
      </c>
      <c r="O215" s="11">
        <f t="shared" si="23"/>
        <v>4865.9347717803475</v>
      </c>
      <c r="P215" s="11">
        <f t="shared" si="24"/>
        <v>4907.1978986450449</v>
      </c>
    </row>
    <row r="216" spans="2:16" ht="22.5" x14ac:dyDescent="0.25">
      <c r="B216" s="8" t="s">
        <v>152</v>
      </c>
      <c r="C216" s="5">
        <v>9634.6925570000003</v>
      </c>
      <c r="D216">
        <v>-7.3999999999999996E-2</v>
      </c>
      <c r="E216">
        <v>7.0789999999999997</v>
      </c>
      <c r="F216">
        <v>7.923</v>
      </c>
      <c r="G216">
        <v>7.6</v>
      </c>
      <c r="H216">
        <v>6.6970000000000001</v>
      </c>
      <c r="I216">
        <v>5.7279999999999998</v>
      </c>
      <c r="K216" s="11">
        <f t="shared" si="19"/>
        <v>9627.5628845078209</v>
      </c>
      <c r="L216" s="11">
        <f t="shared" si="20"/>
        <v>10309.098061102128</v>
      </c>
      <c r="M216" s="11">
        <f t="shared" si="21"/>
        <v>11125.887900483249</v>
      </c>
      <c r="N216" s="11">
        <f t="shared" si="22"/>
        <v>11971.455380919977</v>
      </c>
      <c r="O216" s="11">
        <f t="shared" si="23"/>
        <v>12773.183747780187</v>
      </c>
      <c r="P216" s="11">
        <f t="shared" si="24"/>
        <v>13504.831712853036</v>
      </c>
    </row>
    <row r="217" spans="2:16" ht="22.5" x14ac:dyDescent="0.25">
      <c r="B217" s="8" t="s">
        <v>173</v>
      </c>
      <c r="C217" s="3">
        <v>4461.5212670000001</v>
      </c>
      <c r="D217">
        <v>20.323</v>
      </c>
      <c r="E217">
        <v>15.532999999999999</v>
      </c>
      <c r="F217">
        <v>20.216000000000001</v>
      </c>
      <c r="G217">
        <v>10.247999999999999</v>
      </c>
      <c r="H217">
        <v>2.665</v>
      </c>
      <c r="I217">
        <v>4.1379999999999999</v>
      </c>
      <c r="K217" s="11">
        <f t="shared" si="19"/>
        <v>5368.2362340924101</v>
      </c>
      <c r="L217" s="11">
        <f t="shared" si="20"/>
        <v>6202.0843683339835</v>
      </c>
      <c r="M217" s="11">
        <f t="shared" si="21"/>
        <v>7455.8977442363821</v>
      </c>
      <c r="N217" s="11">
        <f t="shared" si="22"/>
        <v>8219.9781450657265</v>
      </c>
      <c r="O217" s="11">
        <f t="shared" si="23"/>
        <v>8439.0405626317279</v>
      </c>
      <c r="P217" s="11">
        <f t="shared" si="24"/>
        <v>8788.2480611134288</v>
      </c>
    </row>
    <row r="218" spans="2:16" ht="22.5" x14ac:dyDescent="0.25">
      <c r="B218" s="8" t="s">
        <v>226</v>
      </c>
      <c r="C218" s="5">
        <v>348399.42643200001</v>
      </c>
      <c r="D218">
        <v>8.7080000000000002</v>
      </c>
      <c r="E218">
        <v>5.66</v>
      </c>
      <c r="F218">
        <v>2.0339999999999998</v>
      </c>
      <c r="G218">
        <v>1.726</v>
      </c>
      <c r="H218">
        <v>1.7110000000000001</v>
      </c>
      <c r="I218">
        <v>1.681</v>
      </c>
      <c r="K218" s="11">
        <f t="shared" si="19"/>
        <v>378738.04848569859</v>
      </c>
      <c r="L218" s="11">
        <f t="shared" si="20"/>
        <v>400174.62202998914</v>
      </c>
      <c r="M218" s="11">
        <f t="shared" si="21"/>
        <v>408314.17384207912</v>
      </c>
      <c r="N218" s="11">
        <f t="shared" si="22"/>
        <v>415361.67648259341</v>
      </c>
      <c r="O218" s="11">
        <f t="shared" si="23"/>
        <v>422468.51476721058</v>
      </c>
      <c r="P218" s="11">
        <f t="shared" si="24"/>
        <v>429570.21050044737</v>
      </c>
    </row>
    <row r="219" spans="2:16" ht="22.5" x14ac:dyDescent="0.25">
      <c r="B219" s="8" t="s">
        <v>475</v>
      </c>
      <c r="C219" s="3">
        <v>20.543686000000001</v>
      </c>
      <c r="K219" s="11">
        <f t="shared" si="19"/>
        <v>20.543686000000001</v>
      </c>
      <c r="L219" s="11">
        <f t="shared" si="20"/>
        <v>20.543686000000001</v>
      </c>
      <c r="M219" s="11">
        <f t="shared" si="21"/>
        <v>20.543686000000001</v>
      </c>
      <c r="N219" s="11">
        <f t="shared" si="22"/>
        <v>20.543686000000001</v>
      </c>
      <c r="O219" s="11">
        <f t="shared" si="23"/>
        <v>20.543686000000001</v>
      </c>
      <c r="P219" s="11">
        <f t="shared" si="24"/>
        <v>20.543686000000001</v>
      </c>
    </row>
    <row r="220" spans="2:16" ht="45" x14ac:dyDescent="0.25">
      <c r="B220" s="8" t="s">
        <v>476</v>
      </c>
      <c r="C220" s="5">
        <v>575.05513099999996</v>
      </c>
      <c r="K220" s="11">
        <f t="shared" si="19"/>
        <v>575.05513099999996</v>
      </c>
      <c r="L220" s="11">
        <f t="shared" si="20"/>
        <v>575.05513099999996</v>
      </c>
      <c r="M220" s="11">
        <f t="shared" si="21"/>
        <v>575.05513099999996</v>
      </c>
      <c r="N220" s="11">
        <f t="shared" si="22"/>
        <v>575.05513099999996</v>
      </c>
      <c r="O220" s="11">
        <f t="shared" si="23"/>
        <v>575.05513099999996</v>
      </c>
      <c r="P220" s="11">
        <f t="shared" si="24"/>
        <v>575.05513099999996</v>
      </c>
    </row>
    <row r="221" spans="2:16" ht="22.5" x14ac:dyDescent="0.25">
      <c r="B221" s="8" t="s">
        <v>249</v>
      </c>
      <c r="C221" s="3">
        <v>5278.844787</v>
      </c>
      <c r="D221">
        <v>5.3090000000000002</v>
      </c>
      <c r="E221">
        <v>1.2170000000000001</v>
      </c>
      <c r="F221">
        <v>-0.217</v>
      </c>
      <c r="G221">
        <v>-2.6080000000000001</v>
      </c>
      <c r="H221">
        <v>-0.84599999999999997</v>
      </c>
      <c r="I221">
        <v>-6.0970000000000004</v>
      </c>
      <c r="K221" s="11">
        <f t="shared" si="19"/>
        <v>5559.0986567418304</v>
      </c>
      <c r="L221" s="11">
        <f t="shared" si="20"/>
        <v>5626.7528873943784</v>
      </c>
      <c r="M221" s="11">
        <f t="shared" si="21"/>
        <v>5614.5428336287323</v>
      </c>
      <c r="N221" s="11">
        <f t="shared" si="22"/>
        <v>5468.1155565276949</v>
      </c>
      <c r="O221" s="11">
        <f t="shared" si="23"/>
        <v>5421.8552989194704</v>
      </c>
      <c r="P221" s="11">
        <f t="shared" si="24"/>
        <v>5091.2847813443504</v>
      </c>
    </row>
    <row r="222" spans="2:16" ht="22.5" x14ac:dyDescent="0.25">
      <c r="B222" s="8" t="s">
        <v>265</v>
      </c>
      <c r="C222" s="5">
        <v>32580.866750000001</v>
      </c>
      <c r="D222">
        <v>11.156000000000001</v>
      </c>
      <c r="E222">
        <v>8.0850000000000009</v>
      </c>
      <c r="F222">
        <v>7.4550000000000001</v>
      </c>
      <c r="G222">
        <v>6.7089999999999996</v>
      </c>
      <c r="H222">
        <v>11.292</v>
      </c>
      <c r="I222">
        <v>8.8030000000000008</v>
      </c>
      <c r="K222" s="11">
        <f t="shared" si="19"/>
        <v>36215.588244630002</v>
      </c>
      <c r="L222" s="11">
        <f t="shared" si="20"/>
        <v>39143.61855420834</v>
      </c>
      <c r="M222" s="11">
        <f t="shared" si="21"/>
        <v>42061.775317424566</v>
      </c>
      <c r="N222" s="11">
        <f t="shared" si="22"/>
        <v>44883.699823470582</v>
      </c>
      <c r="O222" s="11">
        <f t="shared" si="23"/>
        <v>49951.96720753688</v>
      </c>
      <c r="P222" s="11">
        <f t="shared" si="24"/>
        <v>54349.238880816352</v>
      </c>
    </row>
    <row r="223" spans="2:16" ht="22.5" x14ac:dyDescent="0.25">
      <c r="B223" s="8" t="s">
        <v>269</v>
      </c>
      <c r="C223" s="3">
        <v>7598.3713459999999</v>
      </c>
      <c r="D223">
        <v>15.769</v>
      </c>
      <c r="E223">
        <v>6.7450000000000001</v>
      </c>
      <c r="F223">
        <v>5.1449999999999996</v>
      </c>
      <c r="G223">
        <v>2.9940000000000002</v>
      </c>
      <c r="H223">
        <v>2.992</v>
      </c>
      <c r="I223">
        <v>2.9969999999999999</v>
      </c>
      <c r="K223" s="11">
        <f t="shared" si="19"/>
        <v>8796.5585235507406</v>
      </c>
      <c r="L223" s="11">
        <f t="shared" si="20"/>
        <v>9389.8863959642385</v>
      </c>
      <c r="M223" s="11">
        <f t="shared" si="21"/>
        <v>9872.9960510365981</v>
      </c>
      <c r="N223" s="11">
        <f t="shared" si="22"/>
        <v>10168.593552804634</v>
      </c>
      <c r="O223" s="11">
        <f t="shared" si="23"/>
        <v>10472.837871904549</v>
      </c>
      <c r="P223" s="11">
        <f t="shared" si="24"/>
        <v>10786.708822925528</v>
      </c>
    </row>
    <row r="224" spans="2:16" x14ac:dyDescent="0.25">
      <c r="B224" s="8" t="s">
        <v>271</v>
      </c>
      <c r="C224" s="5">
        <v>33641.102250000004</v>
      </c>
      <c r="D224">
        <v>10.301</v>
      </c>
      <c r="E224">
        <v>5.0090000000000003</v>
      </c>
      <c r="F224">
        <v>4.16</v>
      </c>
      <c r="G224">
        <v>3.9769999999999999</v>
      </c>
      <c r="H224">
        <v>3.996</v>
      </c>
      <c r="I224">
        <v>3.996</v>
      </c>
      <c r="K224" s="11">
        <f t="shared" si="19"/>
        <v>37106.472192772504</v>
      </c>
      <c r="L224" s="11">
        <f t="shared" si="20"/>
        <v>38965.135384908477</v>
      </c>
      <c r="M224" s="11">
        <f t="shared" si="21"/>
        <v>40586.085016920675</v>
      </c>
      <c r="N224" s="11">
        <f t="shared" si="22"/>
        <v>42200.193618043617</v>
      </c>
      <c r="O224" s="11">
        <f t="shared" si="23"/>
        <v>43886.513355020637</v>
      </c>
      <c r="P224" s="11">
        <f t="shared" si="24"/>
        <v>45640.218428687265</v>
      </c>
    </row>
    <row r="225" spans="2:16" ht="90" x14ac:dyDescent="0.25">
      <c r="B225" s="8" t="s">
        <v>477</v>
      </c>
      <c r="C225" s="3">
        <v>597.99024799999995</v>
      </c>
      <c r="K225" s="11">
        <f t="shared" si="19"/>
        <v>597.99024799999995</v>
      </c>
      <c r="L225" s="11">
        <f t="shared" si="20"/>
        <v>597.99024799999995</v>
      </c>
      <c r="M225" s="11">
        <f t="shared" si="21"/>
        <v>597.99024799999995</v>
      </c>
      <c r="N225" s="11">
        <f t="shared" si="22"/>
        <v>597.99024799999995</v>
      </c>
      <c r="O225" s="11">
        <f t="shared" si="23"/>
        <v>597.99024799999995</v>
      </c>
      <c r="P225" s="11">
        <f t="shared" si="24"/>
        <v>597.99024799999995</v>
      </c>
    </row>
    <row r="226" spans="2:16" ht="45" x14ac:dyDescent="0.25">
      <c r="B226" s="8" t="s">
        <v>318</v>
      </c>
      <c r="C226" s="5">
        <v>293.60174000000001</v>
      </c>
      <c r="D226">
        <v>-1.65</v>
      </c>
      <c r="E226">
        <v>16.027000000000001</v>
      </c>
      <c r="F226">
        <v>11.371</v>
      </c>
      <c r="G226">
        <v>10.848000000000001</v>
      </c>
      <c r="H226">
        <v>3.827</v>
      </c>
      <c r="I226">
        <v>3.423</v>
      </c>
      <c r="K226" s="11">
        <f t="shared" si="19"/>
        <v>288.75731129000002</v>
      </c>
      <c r="L226" s="11">
        <f t="shared" si="20"/>
        <v>335.03644557044834</v>
      </c>
      <c r="M226" s="11">
        <f t="shared" si="21"/>
        <v>373.13343979626399</v>
      </c>
      <c r="N226" s="11">
        <f t="shared" si="22"/>
        <v>413.6109553453627</v>
      </c>
      <c r="O226" s="11">
        <f t="shared" si="23"/>
        <v>429.43984660642974</v>
      </c>
      <c r="P226" s="11">
        <f t="shared" si="24"/>
        <v>444.13957255576781</v>
      </c>
    </row>
    <row r="227" spans="2:16" ht="22.5" x14ac:dyDescent="0.25">
      <c r="B227" s="8" t="s">
        <v>320</v>
      </c>
      <c r="C227" s="3">
        <v>1244.4603790000001</v>
      </c>
      <c r="D227">
        <v>-8.9969999999999999</v>
      </c>
      <c r="E227">
        <v>6.63</v>
      </c>
      <c r="F227">
        <v>6.36</v>
      </c>
      <c r="G227">
        <v>5.0339999999999998</v>
      </c>
      <c r="H227">
        <v>2.3879999999999999</v>
      </c>
      <c r="I227">
        <v>2.492</v>
      </c>
      <c r="K227" s="11">
        <f t="shared" si="19"/>
        <v>1132.4962787013701</v>
      </c>
      <c r="L227" s="11">
        <f t="shared" si="20"/>
        <v>1207.580781979271</v>
      </c>
      <c r="M227" s="11">
        <f t="shared" si="21"/>
        <v>1284.3829197131529</v>
      </c>
      <c r="N227" s="11">
        <f t="shared" si="22"/>
        <v>1349.0387558915131</v>
      </c>
      <c r="O227" s="11">
        <f t="shared" si="23"/>
        <v>1381.2538013822023</v>
      </c>
      <c r="P227" s="11">
        <f t="shared" si="24"/>
        <v>1415.6746461126468</v>
      </c>
    </row>
    <row r="228" spans="2:16" ht="67.5" x14ac:dyDescent="0.25">
      <c r="B228" s="8" t="s">
        <v>322</v>
      </c>
      <c r="C228" s="5">
        <v>259.142404</v>
      </c>
      <c r="D228">
        <v>-18.253</v>
      </c>
      <c r="E228">
        <v>19.818000000000001</v>
      </c>
      <c r="F228">
        <v>15.705</v>
      </c>
      <c r="G228">
        <v>13.617000000000001</v>
      </c>
      <c r="H228">
        <v>11.256</v>
      </c>
      <c r="I228">
        <v>9.1959999999999997</v>
      </c>
      <c r="K228" s="11">
        <f t="shared" si="19"/>
        <v>211.84114099788002</v>
      </c>
      <c r="L228" s="11">
        <f t="shared" si="20"/>
        <v>253.82381832083988</v>
      </c>
      <c r="M228" s="11">
        <f t="shared" si="21"/>
        <v>293.68684898812774</v>
      </c>
      <c r="N228" s="11">
        <f t="shared" si="22"/>
        <v>333.67818721484105</v>
      </c>
      <c r="O228" s="11">
        <f t="shared" si="23"/>
        <v>371.23700396774353</v>
      </c>
      <c r="P228" s="11">
        <f t="shared" si="24"/>
        <v>405.37595885261726</v>
      </c>
    </row>
    <row r="229" spans="2:16" ht="22.5" x14ac:dyDescent="0.25">
      <c r="B229" s="8" t="s">
        <v>326</v>
      </c>
      <c r="C229" s="3">
        <v>1222.7442860000001</v>
      </c>
      <c r="D229">
        <v>-7.266</v>
      </c>
      <c r="E229">
        <v>3.0209999999999999</v>
      </c>
      <c r="F229">
        <v>3.7919999999999998</v>
      </c>
      <c r="G229">
        <v>2.222</v>
      </c>
      <c r="H229">
        <v>1.903</v>
      </c>
      <c r="I229">
        <v>1.8480000000000001</v>
      </c>
      <c r="K229" s="11">
        <f t="shared" si="19"/>
        <v>1133.8996861792402</v>
      </c>
      <c r="L229" s="11">
        <f t="shared" si="20"/>
        <v>1168.1547956987151</v>
      </c>
      <c r="M229" s="11">
        <f t="shared" si="21"/>
        <v>1212.4512255516104</v>
      </c>
      <c r="N229" s="11">
        <f t="shared" si="22"/>
        <v>1239.3918917833671</v>
      </c>
      <c r="O229" s="11">
        <f t="shared" si="23"/>
        <v>1262.9775194840047</v>
      </c>
      <c r="P229" s="11">
        <f t="shared" si="24"/>
        <v>1286.3173440440692</v>
      </c>
    </row>
    <row r="230" spans="2:16" ht="56.25" x14ac:dyDescent="0.25">
      <c r="B230" s="8" t="s">
        <v>347</v>
      </c>
      <c r="C230" s="5">
        <v>5066.9374959999996</v>
      </c>
      <c r="D230">
        <v>24.552</v>
      </c>
      <c r="E230">
        <v>16.699000000000002</v>
      </c>
      <c r="F230">
        <v>-1.093</v>
      </c>
      <c r="G230">
        <v>-2.3220000000000001</v>
      </c>
      <c r="H230">
        <v>-1.325</v>
      </c>
      <c r="I230">
        <v>-0.54800000000000004</v>
      </c>
      <c r="K230" s="11">
        <f t="shared" si="19"/>
        <v>6310.9719900179189</v>
      </c>
      <c r="L230" s="11">
        <f t="shared" si="20"/>
        <v>7364.8412026310107</v>
      </c>
      <c r="M230" s="11">
        <f t="shared" si="21"/>
        <v>7284.3434882862539</v>
      </c>
      <c r="N230" s="11">
        <f t="shared" si="22"/>
        <v>7115.2010324882467</v>
      </c>
      <c r="O230" s="11">
        <f t="shared" si="23"/>
        <v>7020.9246188077777</v>
      </c>
      <c r="P230" s="11">
        <f t="shared" si="24"/>
        <v>6982.4499518967104</v>
      </c>
    </row>
    <row r="231" spans="2:16" ht="22.5" x14ac:dyDescent="0.25">
      <c r="B231" s="8" t="s">
        <v>366</v>
      </c>
      <c r="C231" s="3">
        <v>9618.074971</v>
      </c>
      <c r="D231">
        <v>7.1230000000000002</v>
      </c>
      <c r="E231">
        <v>3.2530000000000001</v>
      </c>
      <c r="F231">
        <v>7.8109999999999999</v>
      </c>
      <c r="G231">
        <v>3.7480000000000002</v>
      </c>
      <c r="H231">
        <v>2.3420000000000001</v>
      </c>
      <c r="I231">
        <v>2.3769999999999998</v>
      </c>
      <c r="K231" s="11">
        <f t="shared" si="19"/>
        <v>10303.170451184329</v>
      </c>
      <c r="L231" s="11">
        <f t="shared" si="20"/>
        <v>10638.332585961354</v>
      </c>
      <c r="M231" s="11">
        <f t="shared" si="21"/>
        <v>11469.292744250795</v>
      </c>
      <c r="N231" s="11">
        <f t="shared" si="22"/>
        <v>11899.161836305315</v>
      </c>
      <c r="O231" s="11">
        <f t="shared" si="23"/>
        <v>12177.840206511586</v>
      </c>
      <c r="P231" s="11">
        <f t="shared" si="24"/>
        <v>12467.307468220368</v>
      </c>
    </row>
    <row r="232" spans="2:16" ht="22.5" x14ac:dyDescent="0.25">
      <c r="B232" s="8" t="s">
        <v>371</v>
      </c>
      <c r="C232" s="5">
        <v>6587.6055740000002</v>
      </c>
      <c r="D232">
        <v>-49.601999999999997</v>
      </c>
      <c r="E232">
        <v>-7.931</v>
      </c>
      <c r="F232" t="s">
        <v>10</v>
      </c>
      <c r="G232" t="s">
        <v>10</v>
      </c>
      <c r="H232" t="s">
        <v>10</v>
      </c>
      <c r="I232" t="s">
        <v>10</v>
      </c>
      <c r="K232" s="11">
        <f t="shared" si="19"/>
        <v>3320.0214571845208</v>
      </c>
      <c r="L232" s="11">
        <f t="shared" si="20"/>
        <v>3056.7105554152167</v>
      </c>
      <c r="M232" s="11" t="e">
        <f t="shared" si="21"/>
        <v>#VALUE!</v>
      </c>
      <c r="N232" s="11" t="e">
        <f t="shared" si="22"/>
        <v>#VALUE!</v>
      </c>
      <c r="O232" s="11" t="e">
        <f t="shared" si="23"/>
        <v>#VALUE!</v>
      </c>
      <c r="P232" s="11" t="e">
        <f t="shared" si="24"/>
        <v>#VALUE!</v>
      </c>
    </row>
    <row r="233" spans="2:16" ht="78.75" x14ac:dyDescent="0.25">
      <c r="B233" s="8" t="s">
        <v>479</v>
      </c>
      <c r="C233" s="3">
        <v>5533.5787129999999</v>
      </c>
      <c r="K233" s="11">
        <f t="shared" si="19"/>
        <v>5533.5787129999999</v>
      </c>
      <c r="L233" s="11">
        <f t="shared" si="20"/>
        <v>5533.5787129999999</v>
      </c>
      <c r="M233" s="11">
        <f t="shared" si="21"/>
        <v>5533.5787129999999</v>
      </c>
      <c r="N233" s="11">
        <f t="shared" si="22"/>
        <v>5533.5787129999999</v>
      </c>
      <c r="O233" s="11">
        <f t="shared" si="23"/>
        <v>5533.5787129999999</v>
      </c>
      <c r="P233" s="11">
        <f t="shared" si="24"/>
        <v>5533.5787129999999</v>
      </c>
    </row>
    <row r="234" spans="2:16" ht="56.25" x14ac:dyDescent="0.25">
      <c r="B234" s="4" t="s">
        <v>480</v>
      </c>
      <c r="C234" s="5">
        <v>4654.7090420000004</v>
      </c>
      <c r="K234" s="11">
        <f t="shared" si="19"/>
        <v>4654.7090420000004</v>
      </c>
      <c r="L234" s="11">
        <f t="shared" si="20"/>
        <v>4654.7090420000004</v>
      </c>
      <c r="M234" s="11">
        <f t="shared" si="21"/>
        <v>4654.7090420000004</v>
      </c>
      <c r="N234" s="11">
        <f t="shared" si="22"/>
        <v>4654.7090420000004</v>
      </c>
      <c r="O234" s="11">
        <f t="shared" si="23"/>
        <v>4654.7090420000004</v>
      </c>
      <c r="P234" s="11">
        <f t="shared" si="24"/>
        <v>4654.7090420000004</v>
      </c>
    </row>
    <row r="235" spans="2:16" x14ac:dyDescent="0.25">
      <c r="B235" s="6" t="s">
        <v>481</v>
      </c>
      <c r="C235" s="3">
        <v>4065.5172210000001</v>
      </c>
      <c r="K235" s="11">
        <f t="shared" si="19"/>
        <v>4065.5172210000001</v>
      </c>
      <c r="L235" s="11">
        <f t="shared" si="20"/>
        <v>4065.5172210000001</v>
      </c>
      <c r="M235" s="11">
        <f t="shared" si="21"/>
        <v>4065.5172210000001</v>
      </c>
      <c r="N235" s="11">
        <f t="shared" si="22"/>
        <v>4065.5172210000001</v>
      </c>
      <c r="O235" s="11">
        <f t="shared" si="23"/>
        <v>4065.5172210000001</v>
      </c>
      <c r="P235" s="11">
        <f t="shared" si="24"/>
        <v>4065.5172210000001</v>
      </c>
    </row>
    <row r="236" spans="2:16" ht="45" x14ac:dyDescent="0.25">
      <c r="B236" s="6" t="s">
        <v>482</v>
      </c>
      <c r="C236" s="5">
        <v>589.19182100000046</v>
      </c>
      <c r="K236" s="11">
        <f t="shared" si="19"/>
        <v>589.19182100000046</v>
      </c>
      <c r="L236" s="11">
        <f t="shared" si="20"/>
        <v>589.19182100000046</v>
      </c>
      <c r="M236" s="11">
        <f t="shared" si="21"/>
        <v>589.19182100000046</v>
      </c>
      <c r="N236" s="11">
        <f t="shared" si="22"/>
        <v>589.19182100000046</v>
      </c>
      <c r="O236" s="11">
        <f t="shared" si="23"/>
        <v>589.19182100000046</v>
      </c>
      <c r="P236" s="11">
        <f t="shared" si="24"/>
        <v>589.19182100000046</v>
      </c>
    </row>
    <row r="237" spans="2:16" ht="22.5" x14ac:dyDescent="0.25">
      <c r="B237" s="4" t="s">
        <v>483</v>
      </c>
      <c r="C237" s="3">
        <v>39049.038441999997</v>
      </c>
      <c r="K237" s="11">
        <f t="shared" si="19"/>
        <v>39049.038441999997</v>
      </c>
      <c r="L237" s="11">
        <f t="shared" si="20"/>
        <v>39049.038441999997</v>
      </c>
      <c r="M237" s="11">
        <f t="shared" si="21"/>
        <v>39049.038441999997</v>
      </c>
      <c r="N237" s="11">
        <f t="shared" si="22"/>
        <v>39049.038441999997</v>
      </c>
      <c r="O237" s="11">
        <f t="shared" si="23"/>
        <v>39049.038441999997</v>
      </c>
      <c r="P237" s="11">
        <f t="shared" si="24"/>
        <v>39049.038441999997</v>
      </c>
    </row>
    <row r="238" spans="2:16" ht="33.75" x14ac:dyDescent="0.25">
      <c r="B238" s="4" t="s">
        <v>484</v>
      </c>
      <c r="C238" s="5">
        <v>87103.478193000003</v>
      </c>
      <c r="K238" s="11">
        <f t="shared" si="19"/>
        <v>87103.478193000003</v>
      </c>
      <c r="L238" s="11">
        <f t="shared" si="20"/>
        <v>87103.478193000003</v>
      </c>
      <c r="M238" s="11">
        <f t="shared" si="21"/>
        <v>87103.478193000003</v>
      </c>
      <c r="N238" s="11">
        <f t="shared" si="22"/>
        <v>87103.478193000003</v>
      </c>
      <c r="O238" s="11">
        <f t="shared" si="23"/>
        <v>87103.478193000003</v>
      </c>
      <c r="P238" s="11">
        <f t="shared" si="24"/>
        <v>87103.478193000003</v>
      </c>
    </row>
    <row r="239" spans="2:16" ht="22.5" x14ac:dyDescent="0.25">
      <c r="B239" s="4" t="s">
        <v>485</v>
      </c>
      <c r="C239" s="3"/>
      <c r="K239" s="11">
        <f t="shared" si="19"/>
        <v>0</v>
      </c>
      <c r="L239" s="11">
        <f t="shared" si="20"/>
        <v>0</v>
      </c>
      <c r="M239" s="11">
        <f t="shared" si="21"/>
        <v>0</v>
      </c>
      <c r="N239" s="11">
        <f t="shared" si="22"/>
        <v>0</v>
      </c>
      <c r="O239" s="11">
        <f t="shared" si="23"/>
        <v>0</v>
      </c>
      <c r="P239" s="11">
        <f t="shared" si="24"/>
        <v>0</v>
      </c>
    </row>
    <row r="240" spans="2:16" x14ac:dyDescent="0.25">
      <c r="B240" s="6" t="s">
        <v>486</v>
      </c>
      <c r="C240" s="5">
        <v>436556.65642199997</v>
      </c>
      <c r="D240">
        <v>-5.4470000000000001</v>
      </c>
      <c r="E240">
        <v>24.105</v>
      </c>
      <c r="F240">
        <v>12.565</v>
      </c>
      <c r="G240">
        <v>10.029</v>
      </c>
      <c r="H240">
        <v>8.859</v>
      </c>
      <c r="I240">
        <v>8.9879999999999995</v>
      </c>
      <c r="K240" s="11">
        <f t="shared" si="19"/>
        <v>412777.4153466936</v>
      </c>
      <c r="L240" s="11">
        <f t="shared" si="20"/>
        <v>512277.41131601407</v>
      </c>
      <c r="M240" s="11">
        <f t="shared" si="21"/>
        <v>576645.06804787123</v>
      </c>
      <c r="N240" s="11">
        <f t="shared" si="22"/>
        <v>634476.80192239222</v>
      </c>
      <c r="O240" s="11">
        <f t="shared" si="23"/>
        <v>690685.10180469695</v>
      </c>
      <c r="P240" s="11">
        <f t="shared" si="24"/>
        <v>752763.8787549031</v>
      </c>
    </row>
    <row r="241" spans="2:16" ht="22.5" x14ac:dyDescent="0.25">
      <c r="B241" s="6" t="s">
        <v>487</v>
      </c>
      <c r="C241" s="3">
        <v>598711.315068</v>
      </c>
      <c r="K241" s="11">
        <f t="shared" si="19"/>
        <v>598711.315068</v>
      </c>
      <c r="L241" s="11">
        <f t="shared" si="20"/>
        <v>598711.315068</v>
      </c>
      <c r="M241" s="11">
        <f t="shared" si="21"/>
        <v>598711.315068</v>
      </c>
      <c r="N241" s="11">
        <f t="shared" si="22"/>
        <v>598711.315068</v>
      </c>
      <c r="O241" s="11">
        <f t="shared" si="23"/>
        <v>598711.315068</v>
      </c>
      <c r="P241" s="11">
        <f t="shared" si="24"/>
        <v>598711.315068</v>
      </c>
    </row>
    <row r="242" spans="2:16" ht="22.5" x14ac:dyDescent="0.25">
      <c r="B242" s="6" t="s">
        <v>488</v>
      </c>
      <c r="C242" s="5">
        <v>5133067.3666359996</v>
      </c>
      <c r="K242" s="11">
        <f t="shared" si="19"/>
        <v>5133067.3666359996</v>
      </c>
      <c r="L242" s="11">
        <f t="shared" si="20"/>
        <v>5133067.3666359996</v>
      </c>
      <c r="M242" s="11">
        <f t="shared" si="21"/>
        <v>5133067.3666359996</v>
      </c>
      <c r="N242" s="11">
        <f t="shared" si="22"/>
        <v>5133067.3666359996</v>
      </c>
      <c r="O242" s="11">
        <f t="shared" si="23"/>
        <v>5133067.3666359996</v>
      </c>
      <c r="P242" s="11">
        <f t="shared" si="24"/>
        <v>5133067.3666359996</v>
      </c>
    </row>
    <row r="243" spans="2:16" ht="123.75" x14ac:dyDescent="0.25">
      <c r="B243" s="6" t="s">
        <v>489</v>
      </c>
      <c r="C243" s="3">
        <v>891023.59251700004</v>
      </c>
      <c r="K243" s="11">
        <f t="shared" si="19"/>
        <v>891023.59251700004</v>
      </c>
      <c r="L243" s="11">
        <f t="shared" si="20"/>
        <v>891023.59251700004</v>
      </c>
      <c r="M243" s="11">
        <f t="shared" si="21"/>
        <v>891023.59251700004</v>
      </c>
      <c r="N243" s="11">
        <f t="shared" si="22"/>
        <v>891023.59251700004</v>
      </c>
      <c r="O243" s="11">
        <f t="shared" si="23"/>
        <v>891023.59251700004</v>
      </c>
      <c r="P243" s="11">
        <f t="shared" si="24"/>
        <v>891023.59251700004</v>
      </c>
    </row>
    <row r="244" spans="2:16" ht="123.75" x14ac:dyDescent="0.25">
      <c r="B244" s="9" t="s">
        <v>490</v>
      </c>
      <c r="C244" s="5">
        <v>5551878.5094900001</v>
      </c>
      <c r="K244" s="11">
        <f t="shared" si="19"/>
        <v>5551878.5094900001</v>
      </c>
      <c r="L244" s="11">
        <f t="shared" si="20"/>
        <v>5551878.5094900001</v>
      </c>
      <c r="M244" s="11">
        <f t="shared" si="21"/>
        <v>5551878.5094900001</v>
      </c>
      <c r="N244" s="11">
        <f t="shared" si="22"/>
        <v>5551878.5094900001</v>
      </c>
      <c r="O244" s="11">
        <f t="shared" si="23"/>
        <v>5551878.5094900001</v>
      </c>
      <c r="P244" s="11">
        <f t="shared" si="24"/>
        <v>5551878.5094900001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C380-BE5A-4011-94D9-3C03A4858D6E}">
  <sheetPr codeName="Sheet2"/>
  <dimension ref="B2:H288"/>
  <sheetViews>
    <sheetView topLeftCell="A10" workbookViewId="0">
      <selection activeCell="J30" sqref="J30"/>
    </sheetView>
  </sheetViews>
  <sheetFormatPr defaultRowHeight="15" x14ac:dyDescent="0.25"/>
  <sheetData>
    <row r="2" spans="2:8" x14ac:dyDescent="0.25">
      <c r="B2" s="25" t="s">
        <v>389</v>
      </c>
      <c r="C2" s="25"/>
      <c r="D2" s="25"/>
      <c r="E2" s="25"/>
      <c r="F2" s="25"/>
      <c r="G2" s="25"/>
      <c r="H2" s="17"/>
    </row>
    <row r="3" spans="2:8" ht="15" customHeight="1" x14ac:dyDescent="0.25">
      <c r="B3" s="18" t="s">
        <v>494</v>
      </c>
      <c r="C3" s="18"/>
      <c r="D3" s="18"/>
      <c r="E3" s="18"/>
      <c r="F3" s="18"/>
      <c r="G3" s="18"/>
      <c r="H3" s="17"/>
    </row>
    <row r="4" spans="2:8" ht="15" customHeight="1" x14ac:dyDescent="0.25">
      <c r="B4" s="18"/>
      <c r="C4" s="26" t="s">
        <v>384</v>
      </c>
      <c r="D4" s="26"/>
      <c r="E4" s="26"/>
      <c r="F4" s="26"/>
      <c r="G4" s="26"/>
      <c r="H4" s="26"/>
    </row>
    <row r="5" spans="2:8" x14ac:dyDescent="0.25">
      <c r="B5" s="18"/>
      <c r="C5" s="26"/>
      <c r="D5" s="26"/>
      <c r="E5" s="26"/>
      <c r="F5" s="26"/>
      <c r="G5" s="26"/>
      <c r="H5" s="26"/>
    </row>
    <row r="6" spans="2:8" x14ac:dyDescent="0.25">
      <c r="B6" s="19"/>
      <c r="C6" s="20" t="s">
        <v>385</v>
      </c>
      <c r="D6" s="21" t="s">
        <v>386</v>
      </c>
      <c r="E6" s="21" t="s">
        <v>387</v>
      </c>
      <c r="F6" s="10" t="s">
        <v>388</v>
      </c>
      <c r="G6" s="17"/>
      <c r="H6" s="17"/>
    </row>
    <row r="7" spans="2:8" x14ac:dyDescent="0.25">
      <c r="B7" s="12" t="s">
        <v>25</v>
      </c>
      <c r="C7" s="22">
        <v>37387.439208501135</v>
      </c>
      <c r="D7" s="22">
        <v>63945.591027000002</v>
      </c>
      <c r="E7" s="22">
        <v>177013.49853700001</v>
      </c>
      <c r="F7" s="22">
        <v>196003.20258499999</v>
      </c>
      <c r="G7" s="17"/>
      <c r="H7" s="17"/>
    </row>
    <row r="8" spans="2:8" ht="15" customHeight="1" x14ac:dyDescent="0.25">
      <c r="B8" s="16" t="s">
        <v>389</v>
      </c>
      <c r="C8" s="23">
        <v>3375342.6157226507</v>
      </c>
      <c r="D8" s="23">
        <v>6483365.7551720003</v>
      </c>
      <c r="E8" s="23">
        <v>15208487.194223</v>
      </c>
      <c r="F8" s="23">
        <v>17380317.071715001</v>
      </c>
      <c r="G8" s="17"/>
      <c r="H8" s="17"/>
    </row>
    <row r="9" spans="2:8" ht="15" customHeight="1" x14ac:dyDescent="0.25">
      <c r="B9" s="15" t="s">
        <v>390</v>
      </c>
      <c r="C9" s="22">
        <v>2700861.987199699</v>
      </c>
      <c r="D9" s="22">
        <v>4970918.3503259998</v>
      </c>
      <c r="E9" s="22">
        <v>9754906.0114479996</v>
      </c>
      <c r="F9" s="22">
        <v>10806607.744031001</v>
      </c>
      <c r="G9" s="17"/>
      <c r="H9" s="17"/>
    </row>
    <row r="10" spans="2:8" ht="22.5" x14ac:dyDescent="0.25">
      <c r="B10" s="14" t="s">
        <v>391</v>
      </c>
      <c r="C10" s="23">
        <v>1201685.2644337802</v>
      </c>
      <c r="D10" s="23">
        <v>1893276.615772</v>
      </c>
      <c r="E10" s="23">
        <v>4022565.4592129998</v>
      </c>
      <c r="F10" s="23">
        <v>4183138.8259450002</v>
      </c>
      <c r="G10" s="17"/>
      <c r="H10" s="17"/>
    </row>
    <row r="11" spans="2:8" ht="22.5" x14ac:dyDescent="0.25">
      <c r="B11" s="13" t="s">
        <v>27</v>
      </c>
      <c r="C11" s="22">
        <v>46677.463032824962</v>
      </c>
      <c r="D11" s="22">
        <v>67109.511356999996</v>
      </c>
      <c r="E11" s="22">
        <v>150427.57545500001</v>
      </c>
      <c r="F11" s="22">
        <v>164811.076558</v>
      </c>
      <c r="G11" s="17"/>
      <c r="H11" s="17"/>
    </row>
    <row r="12" spans="2:8" ht="22.5" x14ac:dyDescent="0.25">
      <c r="B12" s="13" t="s">
        <v>41</v>
      </c>
      <c r="C12" s="23"/>
      <c r="D12" s="23">
        <v>165196.39385200001</v>
      </c>
      <c r="E12" s="23">
        <v>369999.48351500003</v>
      </c>
      <c r="F12" s="23">
        <v>371215.30375000002</v>
      </c>
      <c r="G12" s="17"/>
      <c r="H12" s="17"/>
    </row>
    <row r="13" spans="2:8" ht="56.25" x14ac:dyDescent="0.25">
      <c r="B13" s="13" t="s">
        <v>392</v>
      </c>
      <c r="C13" s="22">
        <v>125654.57510871226</v>
      </c>
      <c r="D13" s="22">
        <v>2589.9525990000002</v>
      </c>
      <c r="E13" s="22">
        <v>20.677748000000001</v>
      </c>
      <c r="F13" s="22"/>
      <c r="G13" s="17"/>
      <c r="H13" s="17"/>
    </row>
    <row r="14" spans="2:8" ht="22.5" x14ac:dyDescent="0.25">
      <c r="B14" s="13" t="s">
        <v>95</v>
      </c>
      <c r="C14" s="23">
        <v>3142.8388909064465</v>
      </c>
      <c r="D14" s="23">
        <v>7051.7428790000004</v>
      </c>
      <c r="E14" s="23">
        <v>13947.336353999999</v>
      </c>
      <c r="F14" s="23">
        <v>10087.478590000001</v>
      </c>
      <c r="G14" s="17"/>
      <c r="H14" s="17"/>
    </row>
    <row r="15" spans="2:8" ht="45" x14ac:dyDescent="0.25">
      <c r="B15" s="13" t="s">
        <v>393</v>
      </c>
      <c r="C15" s="22"/>
      <c r="D15" s="22">
        <v>5114.7366519999996</v>
      </c>
      <c r="E15" s="22">
        <v>14005.372803</v>
      </c>
      <c r="F15" s="22">
        <v>20173.504389999998</v>
      </c>
      <c r="G15" s="17"/>
      <c r="H15" s="17"/>
    </row>
    <row r="16" spans="2:8" ht="22.5" x14ac:dyDescent="0.25">
      <c r="B16" s="13" t="s">
        <v>124</v>
      </c>
      <c r="C16" s="23">
        <v>23976.382855198939</v>
      </c>
      <c r="D16" s="23">
        <v>35789.759743000002</v>
      </c>
      <c r="E16" s="23">
        <v>73720.058136000007</v>
      </c>
      <c r="F16" s="23">
        <v>69115.599530000007</v>
      </c>
      <c r="G16" s="17"/>
      <c r="H16" s="17"/>
    </row>
    <row r="17" spans="2:8" ht="22.5" x14ac:dyDescent="0.25">
      <c r="B17" s="13" t="s">
        <v>126</v>
      </c>
      <c r="C17" s="22">
        <v>226151.1147443181</v>
      </c>
      <c r="D17" s="22">
        <v>324528.16004799999</v>
      </c>
      <c r="E17" s="22">
        <v>629556.112311</v>
      </c>
      <c r="F17" s="22">
        <v>601905.46421899996</v>
      </c>
      <c r="G17" s="17"/>
      <c r="H17" s="17"/>
    </row>
    <row r="18" spans="2:8" ht="22.5" x14ac:dyDescent="0.25">
      <c r="B18" s="13" t="s">
        <v>134</v>
      </c>
      <c r="C18" s="23">
        <v>319878.29507568339</v>
      </c>
      <c r="D18" s="23">
        <v>486862.33084900002</v>
      </c>
      <c r="E18" s="23">
        <v>1018585.919775</v>
      </c>
      <c r="F18" s="23">
        <v>1169270.854481</v>
      </c>
      <c r="G18" s="17"/>
      <c r="H18" s="17"/>
    </row>
    <row r="19" spans="2:8" ht="22.5" x14ac:dyDescent="0.25">
      <c r="B19" s="13" t="s">
        <v>138</v>
      </c>
      <c r="C19" s="22">
        <v>19223.749574849164</v>
      </c>
      <c r="D19" s="22">
        <v>32774.440092999997</v>
      </c>
      <c r="E19" s="22">
        <v>60765.527828999999</v>
      </c>
      <c r="F19" s="22">
        <v>58266.345573999999</v>
      </c>
      <c r="G19" s="17"/>
      <c r="H19" s="17"/>
    </row>
    <row r="20" spans="2:8" ht="22.5" x14ac:dyDescent="0.25">
      <c r="B20" s="13" t="s">
        <v>167</v>
      </c>
      <c r="C20" s="23">
        <v>19725.50962785181</v>
      </c>
      <c r="D20" s="23">
        <v>51177.138187999997</v>
      </c>
      <c r="E20" s="23">
        <v>63769.827393</v>
      </c>
      <c r="F20" s="23">
        <v>85517.598694999993</v>
      </c>
      <c r="G20" s="17"/>
      <c r="H20" s="17"/>
    </row>
    <row r="21" spans="2:8" x14ac:dyDescent="0.25">
      <c r="B21" s="13" t="s">
        <v>171</v>
      </c>
      <c r="C21" s="22">
        <v>165045.05333506846</v>
      </c>
      <c r="D21" s="22">
        <v>232763.23748800001</v>
      </c>
      <c r="E21" s="22">
        <v>513972.311904</v>
      </c>
      <c r="F21" s="22">
        <v>441825.39257899998</v>
      </c>
      <c r="G21" s="17"/>
      <c r="H21" s="17"/>
    </row>
    <row r="22" spans="2:8" x14ac:dyDescent="0.25">
      <c r="B22" s="13" t="s">
        <v>195</v>
      </c>
      <c r="C22" s="23"/>
      <c r="D22" s="23">
        <v>5723.8325430000004</v>
      </c>
      <c r="E22" s="23">
        <v>17812.488367000002</v>
      </c>
      <c r="F22" s="23">
        <v>20831.996023</v>
      </c>
      <c r="G22" s="17"/>
      <c r="H22" s="17"/>
    </row>
    <row r="23" spans="2:8" ht="22.5" x14ac:dyDescent="0.25">
      <c r="B23" s="13" t="s">
        <v>205</v>
      </c>
      <c r="C23" s="22"/>
      <c r="D23" s="22">
        <v>6195.7789720000001</v>
      </c>
      <c r="E23" s="22">
        <v>18457.974672</v>
      </c>
      <c r="F23" s="22">
        <v>31164.737568</v>
      </c>
      <c r="G23" s="17"/>
      <c r="H23" s="17"/>
    </row>
    <row r="24" spans="2:8" ht="33.75" x14ac:dyDescent="0.25">
      <c r="B24" s="13" t="s">
        <v>206</v>
      </c>
      <c r="C24" s="23"/>
      <c r="D24" s="23">
        <v>12666.498624</v>
      </c>
      <c r="E24" s="23">
        <v>26012.595166999999</v>
      </c>
      <c r="F24" s="23">
        <v>25574.095817000001</v>
      </c>
      <c r="G24" s="17"/>
      <c r="H24" s="17"/>
    </row>
    <row r="25" spans="2:8" x14ac:dyDescent="0.25">
      <c r="B25" s="13" t="s">
        <v>219</v>
      </c>
      <c r="C25" s="22">
        <v>2009.0839588167021</v>
      </c>
      <c r="D25" s="22">
        <v>4739.6201110000002</v>
      </c>
      <c r="E25" s="22">
        <v>13651.085304</v>
      </c>
      <c r="F25" s="22">
        <v>14943.941819</v>
      </c>
      <c r="G25" s="17"/>
      <c r="H25" s="17"/>
    </row>
    <row r="26" spans="2:8" ht="33.75" x14ac:dyDescent="0.25">
      <c r="B26" s="13" t="s">
        <v>394</v>
      </c>
      <c r="C26" s="23">
        <v>147093.91534469899</v>
      </c>
      <c r="D26" s="23">
        <v>230792.100385</v>
      </c>
      <c r="E26" s="23">
        <v>548501.00699899998</v>
      </c>
      <c r="F26" s="23">
        <v>576473.05906100001</v>
      </c>
      <c r="G26" s="17"/>
      <c r="H26" s="17"/>
    </row>
    <row r="27" spans="2:8" ht="22.5" x14ac:dyDescent="0.25">
      <c r="B27" s="13" t="s">
        <v>277</v>
      </c>
      <c r="C27" s="22">
        <v>22420.641471970757</v>
      </c>
      <c r="D27" s="22">
        <v>42336.326217000002</v>
      </c>
      <c r="E27" s="22">
        <v>76908.230630999999</v>
      </c>
      <c r="F27" s="22">
        <v>79624.703095999997</v>
      </c>
      <c r="G27" s="17"/>
      <c r="H27" s="17"/>
    </row>
    <row r="28" spans="2:8" ht="22.5" x14ac:dyDescent="0.25">
      <c r="B28" s="13" t="s">
        <v>395</v>
      </c>
      <c r="C28" s="23"/>
      <c r="D28" s="23">
        <v>12077.017356</v>
      </c>
      <c r="E28" s="23">
        <v>63343.648217000002</v>
      </c>
      <c r="F28" s="23">
        <v>81541.360297000007</v>
      </c>
      <c r="G28" s="17"/>
      <c r="H28" s="17"/>
    </row>
    <row r="29" spans="2:8" ht="45" x14ac:dyDescent="0.25">
      <c r="B29" s="13" t="s">
        <v>396</v>
      </c>
      <c r="C29" s="22"/>
      <c r="D29" s="22">
        <v>9937.3904590000002</v>
      </c>
      <c r="E29" s="22">
        <v>26525.911131000001</v>
      </c>
      <c r="F29" s="22">
        <v>40627.446859999996</v>
      </c>
      <c r="G29" s="17"/>
      <c r="H29" s="17"/>
    </row>
    <row r="30" spans="2:8" x14ac:dyDescent="0.25">
      <c r="B30" s="13" t="s">
        <v>314</v>
      </c>
      <c r="C30" s="23">
        <v>80686.641412880184</v>
      </c>
      <c r="D30" s="23">
        <v>157850.64735700001</v>
      </c>
      <c r="E30" s="23">
        <v>322582.31550199998</v>
      </c>
      <c r="F30" s="23">
        <v>320168.86703800003</v>
      </c>
      <c r="G30" s="17"/>
      <c r="H30" s="17"/>
    </row>
    <row r="31" spans="2:8" ht="22.5" x14ac:dyDescent="0.25">
      <c r="B31" s="14" t="s">
        <v>25</v>
      </c>
      <c r="C31" s="22">
        <v>37387.439208501135</v>
      </c>
      <c r="D31" s="22">
        <v>63945.591027000002</v>
      </c>
      <c r="E31" s="22">
        <v>177013.49853700001</v>
      </c>
      <c r="F31" s="22">
        <v>196003.20258499999</v>
      </c>
      <c r="G31" s="17"/>
      <c r="H31" s="17"/>
    </row>
    <row r="32" spans="2:8" x14ac:dyDescent="0.25">
      <c r="B32" s="14" t="s">
        <v>71</v>
      </c>
      <c r="C32" s="23">
        <v>115541.38754796131</v>
      </c>
      <c r="D32" s="23">
        <v>235032.95882900001</v>
      </c>
      <c r="E32" s="23">
        <v>383874.381306</v>
      </c>
      <c r="F32" s="23">
        <v>410034.78848699998</v>
      </c>
      <c r="G32" s="17"/>
      <c r="H32" s="17"/>
    </row>
    <row r="33" spans="2:8" ht="45" x14ac:dyDescent="0.25">
      <c r="B33" s="14" t="s">
        <v>397</v>
      </c>
      <c r="C33" s="22">
        <v>81439.887402584456</v>
      </c>
      <c r="D33" s="22">
        <v>184405.80161600001</v>
      </c>
      <c r="E33" s="22">
        <v>495918.72197999997</v>
      </c>
      <c r="F33" s="22">
        <v>574230.98496599996</v>
      </c>
      <c r="G33" s="17"/>
      <c r="H33" s="17"/>
    </row>
    <row r="34" spans="2:8" ht="33.75" x14ac:dyDescent="0.25">
      <c r="B34" s="14" t="s">
        <v>398</v>
      </c>
      <c r="C34" s="23">
        <v>1518.36665506394</v>
      </c>
      <c r="D34" s="23">
        <v>2689.8310139999999</v>
      </c>
      <c r="E34" s="23">
        <v>14553.773982999999</v>
      </c>
      <c r="F34" s="23">
        <v>9906.4584379999997</v>
      </c>
      <c r="G34" s="17"/>
      <c r="H34" s="17"/>
    </row>
    <row r="35" spans="2:8" ht="22.5" x14ac:dyDescent="0.25">
      <c r="B35" s="14" t="s">
        <v>399</v>
      </c>
      <c r="C35" s="22"/>
      <c r="D35" s="22">
        <v>30916.667907999999</v>
      </c>
      <c r="E35" s="22">
        <v>118928.25629600001</v>
      </c>
      <c r="F35" s="22">
        <v>160023.42376400001</v>
      </c>
      <c r="G35" s="17"/>
      <c r="H35" s="17"/>
    </row>
    <row r="36" spans="2:8" ht="22.5" x14ac:dyDescent="0.25">
      <c r="B36" s="14" t="s">
        <v>99</v>
      </c>
      <c r="C36" s="23">
        <v>26867.271733352409</v>
      </c>
      <c r="D36" s="23">
        <v>42648.686666000001</v>
      </c>
      <c r="E36" s="23">
        <v>83233.727415999994</v>
      </c>
      <c r="F36" s="23">
        <v>98964.508726999993</v>
      </c>
      <c r="G36" s="17"/>
      <c r="H36" s="17"/>
    </row>
    <row r="37" spans="2:8" x14ac:dyDescent="0.25">
      <c r="B37" s="14" t="s">
        <v>158</v>
      </c>
      <c r="C37" s="22">
        <v>1491.8771520302164</v>
      </c>
      <c r="D37" s="22">
        <v>3113.8710510000001</v>
      </c>
      <c r="E37" s="22">
        <v>4461.0128480000003</v>
      </c>
      <c r="F37" s="22">
        <v>5247.5381539999998</v>
      </c>
      <c r="G37" s="17"/>
      <c r="H37" s="17"/>
    </row>
    <row r="38" spans="2:8" x14ac:dyDescent="0.25">
      <c r="B38" s="14" t="s">
        <v>169</v>
      </c>
      <c r="C38" s="23">
        <v>13265.773740073148</v>
      </c>
      <c r="D38" s="23">
        <v>32711.393775</v>
      </c>
      <c r="E38" s="23">
        <v>56802.339477000001</v>
      </c>
      <c r="F38" s="23">
        <v>68271.005971000006</v>
      </c>
      <c r="G38" s="17"/>
      <c r="H38" s="17"/>
    </row>
    <row r="39" spans="2:8" x14ac:dyDescent="0.25">
      <c r="B39" s="14" t="s">
        <v>175</v>
      </c>
      <c r="C39" s="22">
        <v>207597.74454809967</v>
      </c>
      <c r="D39" s="22">
        <v>341989.52778599999</v>
      </c>
      <c r="E39" s="22">
        <v>623381.26176000002</v>
      </c>
      <c r="F39" s="22">
        <v>574585.97235499998</v>
      </c>
      <c r="G39" s="17"/>
      <c r="H39" s="17"/>
    </row>
    <row r="40" spans="2:8" ht="22.5" x14ac:dyDescent="0.25">
      <c r="B40" s="14" t="s">
        <v>400</v>
      </c>
      <c r="C40" s="23">
        <v>59143.501362266681</v>
      </c>
      <c r="D40" s="23">
        <v>147859.33955199999</v>
      </c>
      <c r="E40" s="23">
        <v>399042.40988699999</v>
      </c>
      <c r="F40" s="23">
        <v>445851.88730399997</v>
      </c>
      <c r="G40" s="17"/>
      <c r="H40" s="17"/>
    </row>
    <row r="41" spans="2:8" ht="22.5" x14ac:dyDescent="0.25">
      <c r="B41" s="14" t="s">
        <v>247</v>
      </c>
      <c r="C41" s="22">
        <v>7814.6956110484361</v>
      </c>
      <c r="D41" s="22">
        <v>12339.288051</v>
      </c>
      <c r="E41" s="22">
        <v>27563.719937999998</v>
      </c>
      <c r="F41" s="22">
        <v>35701.329468000004</v>
      </c>
      <c r="G41" s="17"/>
      <c r="H41" s="17"/>
    </row>
    <row r="42" spans="2:8" x14ac:dyDescent="0.25">
      <c r="B42" s="14" t="s">
        <v>257</v>
      </c>
      <c r="C42" s="23">
        <v>23591.495602856543</v>
      </c>
      <c r="D42" s="23">
        <v>30759.455035999999</v>
      </c>
      <c r="E42" s="23">
        <v>74338.890016000005</v>
      </c>
      <c r="F42" s="23">
        <v>78858.604720000003</v>
      </c>
      <c r="G42" s="17"/>
      <c r="H42" s="17"/>
    </row>
    <row r="43" spans="2:8" ht="33.75" x14ac:dyDescent="0.25">
      <c r="B43" s="14" t="s">
        <v>401</v>
      </c>
      <c r="C43" s="22"/>
      <c r="D43" s="22">
        <v>122.776222</v>
      </c>
      <c r="E43" s="22">
        <v>325.36564099999998</v>
      </c>
      <c r="F43" s="22">
        <v>294.89558</v>
      </c>
      <c r="G43" s="17"/>
      <c r="H43" s="17"/>
    </row>
    <row r="44" spans="2:8" ht="22.5" x14ac:dyDescent="0.25">
      <c r="B44" s="14" t="s">
        <v>302</v>
      </c>
      <c r="C44" s="23">
        <v>55610.41788575879</v>
      </c>
      <c r="D44" s="23">
        <v>128894.120176</v>
      </c>
      <c r="E44" s="23">
        <v>273758.69125899998</v>
      </c>
      <c r="F44" s="23">
        <v>297409.03879800002</v>
      </c>
      <c r="G44" s="17"/>
      <c r="H44" s="17"/>
    </row>
    <row r="45" spans="2:8" ht="22.5" x14ac:dyDescent="0.25">
      <c r="B45" s="14" t="s">
        <v>328</v>
      </c>
      <c r="C45" s="22">
        <v>50742.666605720668</v>
      </c>
      <c r="D45" s="22">
        <v>72367.799035999997</v>
      </c>
      <c r="E45" s="22">
        <v>137982.07418299999</v>
      </c>
      <c r="F45" s="22">
        <v>147989.596876</v>
      </c>
      <c r="G45" s="17"/>
      <c r="H45" s="17"/>
    </row>
    <row r="46" spans="2:8" ht="22.5" x14ac:dyDescent="0.25">
      <c r="B46" s="14" t="s">
        <v>330</v>
      </c>
      <c r="C46" s="23">
        <v>74676.654591997125</v>
      </c>
      <c r="D46" s="23">
        <v>96158.832647999996</v>
      </c>
      <c r="E46" s="23">
        <v>232113.15605799999</v>
      </c>
      <c r="F46" s="23">
        <v>290669.04032199999</v>
      </c>
      <c r="G46" s="17"/>
      <c r="H46" s="17"/>
    </row>
    <row r="47" spans="2:8" ht="45" x14ac:dyDescent="0.25">
      <c r="B47" s="14" t="s">
        <v>334</v>
      </c>
      <c r="C47" s="22">
        <v>49586.875893291653</v>
      </c>
      <c r="D47" s="22">
        <v>127935.625931</v>
      </c>
      <c r="E47" s="22">
        <v>225393.96456399999</v>
      </c>
      <c r="F47" s="22">
        <v>264758.43186999997</v>
      </c>
      <c r="G47" s="17"/>
      <c r="H47" s="17"/>
    </row>
    <row r="48" spans="2:8" ht="33.75" x14ac:dyDescent="0.25">
      <c r="B48" s="14" t="s">
        <v>362</v>
      </c>
      <c r="C48" s="23">
        <v>201543.68603358368</v>
      </c>
      <c r="D48" s="23">
        <v>338890.14313799998</v>
      </c>
      <c r="E48" s="23">
        <v>579599.474712</v>
      </c>
      <c r="F48" s="23">
        <v>640784.23864600004</v>
      </c>
      <c r="G48" s="17"/>
      <c r="H48" s="17"/>
    </row>
    <row r="49" spans="2:8" ht="22.5" x14ac:dyDescent="0.25">
      <c r="B49" s="14" t="s">
        <v>364</v>
      </c>
      <c r="C49" s="22">
        <v>491356.9811917285</v>
      </c>
      <c r="D49" s="22">
        <v>1184846.5133779999</v>
      </c>
      <c r="E49" s="22">
        <v>1823998.8022149999</v>
      </c>
      <c r="F49" s="22">
        <v>2323812.4970789999</v>
      </c>
      <c r="G49" s="17"/>
      <c r="H49" s="17"/>
    </row>
    <row r="50" spans="2:8" ht="22.5" x14ac:dyDescent="0.25">
      <c r="B50" s="14" t="s">
        <v>402</v>
      </c>
      <c r="C50" s="23"/>
      <c r="D50" s="23">
        <v>13.511714</v>
      </c>
      <c r="E50" s="23">
        <v>57.030158999999998</v>
      </c>
      <c r="F50" s="23">
        <v>71.473975999999993</v>
      </c>
      <c r="G50" s="17"/>
      <c r="H50" s="17"/>
    </row>
    <row r="51" spans="2:8" ht="67.5" x14ac:dyDescent="0.25">
      <c r="B51" s="15" t="s">
        <v>403</v>
      </c>
      <c r="C51" s="22">
        <v>624183.4958158565</v>
      </c>
      <c r="D51" s="22">
        <v>1453929.3522020001</v>
      </c>
      <c r="E51" s="22">
        <v>5257649.5453690002</v>
      </c>
      <c r="F51" s="22">
        <v>6442902.1020069998</v>
      </c>
      <c r="G51" s="17"/>
      <c r="H51" s="17"/>
    </row>
    <row r="52" spans="2:8" ht="45" x14ac:dyDescent="0.25">
      <c r="B52" s="14" t="s">
        <v>404</v>
      </c>
      <c r="C52" s="23">
        <v>176392.62847799886</v>
      </c>
      <c r="D52" s="23">
        <v>558087.22598900006</v>
      </c>
      <c r="E52" s="23">
        <v>2355375.2822969998</v>
      </c>
      <c r="F52" s="23">
        <v>3266249.6499410002</v>
      </c>
      <c r="G52" s="17"/>
      <c r="H52" s="17"/>
    </row>
    <row r="53" spans="2:8" ht="45" x14ac:dyDescent="0.25">
      <c r="B53" s="13" t="s">
        <v>405</v>
      </c>
      <c r="C53" s="22">
        <v>61.500431115543606</v>
      </c>
      <c r="D53" s="22">
        <v>63.169873000000003</v>
      </c>
      <c r="E53" s="22">
        <v>92.587980999999999</v>
      </c>
      <c r="F53" s="22">
        <v>173.69258300000001</v>
      </c>
      <c r="G53" s="17"/>
      <c r="H53" s="17"/>
    </row>
    <row r="54" spans="2:8" ht="22.5" x14ac:dyDescent="0.25">
      <c r="B54" s="13" t="s">
        <v>35</v>
      </c>
      <c r="C54" s="23">
        <v>3322.7537631065366</v>
      </c>
      <c r="D54" s="23">
        <v>7693.6771909999998</v>
      </c>
      <c r="E54" s="23">
        <v>27352.589459999999</v>
      </c>
      <c r="F54" s="23">
        <v>50445.732313</v>
      </c>
      <c r="G54" s="17"/>
      <c r="H54" s="17"/>
    </row>
    <row r="55" spans="2:8" ht="22.5" x14ac:dyDescent="0.25">
      <c r="B55" s="13" t="s">
        <v>47</v>
      </c>
      <c r="C55" s="22">
        <v>3.6344089574304741</v>
      </c>
      <c r="D55" s="22">
        <v>24.517292999999999</v>
      </c>
      <c r="E55" s="22">
        <v>261.70123100000001</v>
      </c>
      <c r="F55" s="22">
        <v>774.44593599999996</v>
      </c>
      <c r="G55" s="17"/>
      <c r="H55" s="17"/>
    </row>
    <row r="56" spans="2:8" ht="45" x14ac:dyDescent="0.25">
      <c r="B56" s="13" t="s">
        <v>57</v>
      </c>
      <c r="C56" s="23">
        <v>1562.8425707941742</v>
      </c>
      <c r="D56" s="23">
        <v>1403.749916</v>
      </c>
      <c r="E56" s="23">
        <v>2901.5586880000001</v>
      </c>
      <c r="F56" s="23">
        <v>3978.1556270000001</v>
      </c>
      <c r="G56" s="17"/>
      <c r="H56" s="17"/>
    </row>
    <row r="57" spans="2:8" ht="22.5" x14ac:dyDescent="0.25">
      <c r="B57" s="13" t="s">
        <v>67</v>
      </c>
      <c r="C57" s="22">
        <v>51.055234008747725</v>
      </c>
      <c r="D57" s="22">
        <v>1995.538446</v>
      </c>
      <c r="E57" s="22">
        <v>9970.1883990000006</v>
      </c>
      <c r="F57" s="22">
        <v>27004.280955999999</v>
      </c>
      <c r="G57" s="17"/>
      <c r="H57" s="17"/>
    </row>
    <row r="58" spans="2:8" ht="45" x14ac:dyDescent="0.25">
      <c r="B58" s="13" t="s">
        <v>406</v>
      </c>
      <c r="C58" s="23">
        <v>49054.123919313875</v>
      </c>
      <c r="D58" s="23">
        <v>232413.75298399999</v>
      </c>
      <c r="E58" s="23">
        <v>1248913.4685160001</v>
      </c>
      <c r="F58" s="23">
        <v>1802664.709491</v>
      </c>
      <c r="G58" s="17"/>
      <c r="H58" s="17"/>
    </row>
    <row r="59" spans="2:8" ht="33.75" x14ac:dyDescent="0.25">
      <c r="B59" s="13" t="s">
        <v>407</v>
      </c>
      <c r="C59" s="22">
        <v>602.18958216999727</v>
      </c>
      <c r="D59" s="22">
        <v>687.861716</v>
      </c>
      <c r="E59" s="22">
        <v>1452.3472200000001</v>
      </c>
      <c r="F59" s="22">
        <v>1525.948862</v>
      </c>
      <c r="G59" s="17"/>
      <c r="H59" s="17"/>
    </row>
    <row r="60" spans="2:8" ht="45" x14ac:dyDescent="0.25">
      <c r="B60" s="13" t="s">
        <v>408</v>
      </c>
      <c r="C60" s="23">
        <v>642.14791209489579</v>
      </c>
      <c r="D60" s="23">
        <v>828.54996900000003</v>
      </c>
      <c r="E60" s="23">
        <v>1527.2921449999999</v>
      </c>
      <c r="F60" s="23">
        <v>1359.2776289999999</v>
      </c>
      <c r="G60" s="17"/>
      <c r="H60" s="17"/>
    </row>
    <row r="61" spans="2:8" x14ac:dyDescent="0.25">
      <c r="B61" s="13" t="s">
        <v>409</v>
      </c>
      <c r="C61" s="22">
        <v>576.00421930807806</v>
      </c>
      <c r="D61" s="22">
        <v>483.37320499999998</v>
      </c>
      <c r="E61" s="22">
        <v>931.16156899999999</v>
      </c>
      <c r="F61" s="22">
        <v>2114.7185209999998</v>
      </c>
      <c r="G61" s="17"/>
      <c r="H61" s="17"/>
    </row>
    <row r="62" spans="2:8" x14ac:dyDescent="0.25">
      <c r="B62" s="13" t="s">
        <v>160</v>
      </c>
      <c r="C62" s="23">
        <v>22767.043736317337</v>
      </c>
      <c r="D62" s="23">
        <v>59778.598914000002</v>
      </c>
      <c r="E62" s="23">
        <v>349927.92640400003</v>
      </c>
      <c r="F62" s="23">
        <v>353434.79324000003</v>
      </c>
      <c r="G62" s="17"/>
      <c r="H62" s="17"/>
    </row>
    <row r="63" spans="2:8" ht="22.5" x14ac:dyDescent="0.25">
      <c r="B63" s="13" t="s">
        <v>162</v>
      </c>
      <c r="C63" s="22">
        <v>17753.255492786757</v>
      </c>
      <c r="D63" s="22">
        <v>33445.336232000001</v>
      </c>
      <c r="E63" s="22">
        <v>142571.01470199999</v>
      </c>
      <c r="F63" s="22">
        <v>142686.74149700001</v>
      </c>
      <c r="G63" s="17"/>
      <c r="H63" s="17"/>
    </row>
    <row r="64" spans="2:8" ht="22.5" x14ac:dyDescent="0.25">
      <c r="B64" s="13" t="s">
        <v>183</v>
      </c>
      <c r="C64" s="23">
        <v>39.061964791790302</v>
      </c>
      <c r="D64" s="23">
        <v>38.609673999999998</v>
      </c>
      <c r="E64" s="23">
        <v>98.440672000000006</v>
      </c>
      <c r="F64" s="23">
        <v>138.300005</v>
      </c>
      <c r="G64" s="17"/>
      <c r="H64" s="17"/>
    </row>
    <row r="65" spans="2:8" ht="56.25" x14ac:dyDescent="0.25">
      <c r="B65" s="13" t="s">
        <v>410</v>
      </c>
      <c r="C65" s="22">
        <v>135.3374349580541</v>
      </c>
      <c r="D65" s="22">
        <v>618.08390899999995</v>
      </c>
      <c r="E65" s="22">
        <v>3253.4866320000001</v>
      </c>
      <c r="F65" s="22">
        <v>6061.9409310000001</v>
      </c>
      <c r="G65" s="17"/>
      <c r="H65" s="17"/>
    </row>
    <row r="66" spans="2:8" ht="22.5" x14ac:dyDescent="0.25">
      <c r="B66" s="13" t="s">
        <v>213</v>
      </c>
      <c r="C66" s="23">
        <v>25371.005950636318</v>
      </c>
      <c r="D66" s="23">
        <v>82638.720688000001</v>
      </c>
      <c r="E66" s="23">
        <v>174954.22824699999</v>
      </c>
      <c r="F66" s="23">
        <v>199751.773392</v>
      </c>
      <c r="G66" s="17"/>
      <c r="H66" s="17"/>
    </row>
    <row r="67" spans="2:8" ht="22.5" x14ac:dyDescent="0.25">
      <c r="B67" s="13" t="s">
        <v>215</v>
      </c>
      <c r="C67" s="22">
        <v>153.12879686791169</v>
      </c>
      <c r="D67" s="22">
        <v>401.09443599999997</v>
      </c>
      <c r="E67" s="22">
        <v>1124.0317700000001</v>
      </c>
      <c r="F67" s="22">
        <v>1416.4338069999999</v>
      </c>
      <c r="G67" s="17"/>
      <c r="H67" s="17"/>
    </row>
    <row r="68" spans="2:8" ht="67.5" x14ac:dyDescent="0.25">
      <c r="B68" s="13" t="s">
        <v>411</v>
      </c>
      <c r="C68" s="23"/>
      <c r="D68" s="23">
        <v>82.837903999999995</v>
      </c>
      <c r="E68" s="23">
        <v>656.22976500000004</v>
      </c>
      <c r="F68" s="23">
        <v>12706.337925</v>
      </c>
      <c r="G68" s="17"/>
      <c r="H68" s="17"/>
    </row>
    <row r="69" spans="2:8" ht="67.5" x14ac:dyDescent="0.25">
      <c r="B69" s="13" t="s">
        <v>412</v>
      </c>
      <c r="C69" s="22"/>
      <c r="D69" s="22">
        <v>1.097885</v>
      </c>
      <c r="E69" s="22">
        <v>385.80764799999997</v>
      </c>
      <c r="F69" s="22">
        <v>251.359589</v>
      </c>
      <c r="G69" s="17"/>
      <c r="H69" s="17"/>
    </row>
    <row r="70" spans="2:8" ht="22.5" x14ac:dyDescent="0.25">
      <c r="B70" s="13" t="s">
        <v>231</v>
      </c>
      <c r="C70" s="23">
        <v>131.7763157547121</v>
      </c>
      <c r="D70" s="23">
        <v>529.34814200000005</v>
      </c>
      <c r="E70" s="23">
        <v>3479.2982649999999</v>
      </c>
      <c r="F70" s="23">
        <v>4616.5250720000004</v>
      </c>
      <c r="G70" s="17"/>
      <c r="H70" s="17"/>
    </row>
    <row r="71" spans="2:8" ht="22.5" x14ac:dyDescent="0.25">
      <c r="B71" s="13" t="s">
        <v>239</v>
      </c>
      <c r="C71" s="22">
        <v>985.70442603728986</v>
      </c>
      <c r="D71" s="22">
        <v>2777.2027560000001</v>
      </c>
      <c r="E71" s="22">
        <v>9052.7639029999991</v>
      </c>
      <c r="F71" s="22">
        <v>27199.669484999999</v>
      </c>
      <c r="G71" s="17"/>
      <c r="H71" s="17"/>
    </row>
    <row r="72" spans="2:8" ht="33.75" x14ac:dyDescent="0.25">
      <c r="B72" s="13" t="s">
        <v>413</v>
      </c>
      <c r="C72" s="23">
        <v>34.306418713797655</v>
      </c>
      <c r="D72" s="23">
        <v>56.164749999999998</v>
      </c>
      <c r="E72" s="23">
        <v>22.866081999999999</v>
      </c>
      <c r="F72" s="23">
        <v>59.932715999999999</v>
      </c>
      <c r="G72" s="17"/>
      <c r="H72" s="17"/>
    </row>
    <row r="73" spans="2:8" x14ac:dyDescent="0.25">
      <c r="B73" s="13" t="s">
        <v>244</v>
      </c>
      <c r="C73" s="22">
        <v>410.5649810980027</v>
      </c>
      <c r="D73" s="22">
        <v>861.22103000000004</v>
      </c>
      <c r="E73" s="22">
        <v>3459.9356339999999</v>
      </c>
      <c r="F73" s="22">
        <v>8253.3403450000005</v>
      </c>
      <c r="G73" s="17"/>
      <c r="H73" s="17"/>
    </row>
    <row r="74" spans="2:8" ht="33.75" x14ac:dyDescent="0.25">
      <c r="B74" s="13" t="s">
        <v>414</v>
      </c>
      <c r="C74" s="23">
        <v>692.26084784332227</v>
      </c>
      <c r="D74" s="23">
        <v>860.712039</v>
      </c>
      <c r="E74" s="23">
        <v>2936.906125</v>
      </c>
      <c r="F74" s="23">
        <v>2139.3531670000002</v>
      </c>
      <c r="G74" s="17"/>
      <c r="H74" s="17"/>
    </row>
    <row r="75" spans="2:8" ht="33.75" x14ac:dyDescent="0.25">
      <c r="B75" s="13" t="s">
        <v>415</v>
      </c>
      <c r="C75" s="22"/>
      <c r="D75" s="22">
        <v>11.479067000000001</v>
      </c>
      <c r="E75" s="22">
        <v>35.518706999999999</v>
      </c>
      <c r="F75" s="22">
        <v>102.76406799999999</v>
      </c>
      <c r="G75" s="17"/>
      <c r="H75" s="17"/>
    </row>
    <row r="76" spans="2:8" ht="45" x14ac:dyDescent="0.25">
      <c r="B76" s="13" t="s">
        <v>267</v>
      </c>
      <c r="C76" s="23">
        <v>1184.3913920675677</v>
      </c>
      <c r="D76" s="23">
        <v>1091.866501</v>
      </c>
      <c r="E76" s="23">
        <v>4568.504927</v>
      </c>
      <c r="F76" s="23">
        <v>4159.7083910000001</v>
      </c>
      <c r="G76" s="17"/>
      <c r="H76" s="17"/>
    </row>
    <row r="77" spans="2:8" ht="22.5" x14ac:dyDescent="0.25">
      <c r="B77" s="13" t="s">
        <v>273</v>
      </c>
      <c r="C77" s="22">
        <v>13226.691561188154</v>
      </c>
      <c r="D77" s="22">
        <v>45950.177779999998</v>
      </c>
      <c r="E77" s="22">
        <v>79945.952267000001</v>
      </c>
      <c r="F77" s="22">
        <v>122513.45544000001</v>
      </c>
      <c r="G77" s="17"/>
      <c r="H77" s="17"/>
    </row>
    <row r="78" spans="2:8" ht="22.5" x14ac:dyDescent="0.25">
      <c r="B78" s="13" t="s">
        <v>288</v>
      </c>
      <c r="C78" s="23">
        <v>66.03860173045895</v>
      </c>
      <c r="D78" s="23">
        <v>224.951919</v>
      </c>
      <c r="E78" s="23">
        <v>354.98708499999998</v>
      </c>
      <c r="F78" s="23">
        <v>807.58540100000005</v>
      </c>
      <c r="G78" s="17"/>
      <c r="H78" s="17"/>
    </row>
    <row r="79" spans="2:8" ht="45" x14ac:dyDescent="0.25">
      <c r="B79" s="13" t="s">
        <v>308</v>
      </c>
      <c r="C79" s="22">
        <v>86.046117922713321</v>
      </c>
      <c r="D79" s="22">
        <v>96.478785000000002</v>
      </c>
      <c r="E79" s="22">
        <v>316.73364099999998</v>
      </c>
      <c r="F79" s="22">
        <v>393.27912199999997</v>
      </c>
      <c r="G79" s="17"/>
      <c r="H79" s="17"/>
    </row>
    <row r="80" spans="2:8" ht="22.5" x14ac:dyDescent="0.25">
      <c r="B80" s="13" t="s">
        <v>316</v>
      </c>
      <c r="C80" s="23">
        <v>2684.3366212830747</v>
      </c>
      <c r="D80" s="23">
        <v>6706.1771349999999</v>
      </c>
      <c r="E80" s="23">
        <v>14154.178679000001</v>
      </c>
      <c r="F80" s="23">
        <v>15458.966611</v>
      </c>
      <c r="G80" s="17"/>
      <c r="H80" s="17"/>
    </row>
    <row r="81" spans="2:8" ht="22.5" x14ac:dyDescent="0.25">
      <c r="B81" s="13" t="s">
        <v>340</v>
      </c>
      <c r="C81" s="22">
        <v>30128.583119685605</v>
      </c>
      <c r="D81" s="22">
        <v>59176.316310000002</v>
      </c>
      <c r="E81" s="22">
        <v>164315.05619100001</v>
      </c>
      <c r="F81" s="22">
        <v>192524.32896099999</v>
      </c>
      <c r="G81" s="17"/>
      <c r="H81" s="17"/>
    </row>
    <row r="82" spans="2:8" ht="56.25" x14ac:dyDescent="0.25">
      <c r="B82" s="13" t="s">
        <v>416</v>
      </c>
      <c r="C82" s="23"/>
      <c r="D82" s="23"/>
      <c r="E82" s="23">
        <v>929.88437299999998</v>
      </c>
      <c r="F82" s="23">
        <v>932.20217200000002</v>
      </c>
      <c r="G82" s="17"/>
      <c r="H82" s="17"/>
    </row>
    <row r="83" spans="2:8" x14ac:dyDescent="0.25">
      <c r="B83" s="13" t="s">
        <v>345</v>
      </c>
      <c r="C83" s="22">
        <v>41.639984553665585</v>
      </c>
      <c r="D83" s="22">
        <v>66.858604</v>
      </c>
      <c r="E83" s="22">
        <v>145.90579099999999</v>
      </c>
      <c r="F83" s="22">
        <v>201.56322800000001</v>
      </c>
      <c r="G83" s="17"/>
      <c r="H83" s="17"/>
    </row>
    <row r="84" spans="2:8" ht="22.5" x14ac:dyDescent="0.25">
      <c r="B84" s="13" t="s">
        <v>355</v>
      </c>
      <c r="C84" s="23">
        <v>3.4066654671241272</v>
      </c>
      <c r="D84" s="23">
        <v>6.4665569999999999</v>
      </c>
      <c r="E84" s="23">
        <v>73.022999999999996</v>
      </c>
      <c r="F84" s="23">
        <v>79.381489999999999</v>
      </c>
      <c r="G84" s="17"/>
      <c r="H84" s="17"/>
    </row>
    <row r="85" spans="2:8" ht="22.5" x14ac:dyDescent="0.25">
      <c r="B85" s="13" t="s">
        <v>370</v>
      </c>
      <c r="C85" s="22">
        <v>258.73936414373486</v>
      </c>
      <c r="D85" s="22">
        <v>106.546284</v>
      </c>
      <c r="E85" s="22">
        <v>967.17480699999999</v>
      </c>
      <c r="F85" s="22">
        <v>305.31863800000002</v>
      </c>
      <c r="G85" s="17"/>
      <c r="H85" s="17"/>
    </row>
    <row r="86" spans="2:8" ht="22.5" x14ac:dyDescent="0.25">
      <c r="B86" s="13" t="s">
        <v>373</v>
      </c>
      <c r="C86" s="23">
        <v>1138.0156421209201</v>
      </c>
      <c r="D86" s="23">
        <v>14359.082963000001</v>
      </c>
      <c r="E86" s="23">
        <v>92475.479986000006</v>
      </c>
      <c r="F86" s="23">
        <v>277027.00228999997</v>
      </c>
      <c r="G86" s="17"/>
      <c r="H86" s="17"/>
    </row>
    <row r="87" spans="2:8" ht="45" x14ac:dyDescent="0.25">
      <c r="B87" s="13" t="s">
        <v>417</v>
      </c>
      <c r="C87" s="22">
        <v>3225.0410011612712</v>
      </c>
      <c r="D87" s="22">
        <v>2607.6051320000001</v>
      </c>
      <c r="E87" s="22">
        <v>11767.051785</v>
      </c>
      <c r="F87" s="22">
        <v>2986.6310400000002</v>
      </c>
      <c r="G87" s="17"/>
      <c r="H87" s="17"/>
    </row>
    <row r="88" spans="2:8" ht="56.25" x14ac:dyDescent="0.25">
      <c r="B88" s="14" t="s">
        <v>418</v>
      </c>
      <c r="C88" s="23">
        <v>142221.84836677165</v>
      </c>
      <c r="D88" s="23">
        <v>231784.10759500001</v>
      </c>
      <c r="E88" s="23">
        <v>882284.39153899997</v>
      </c>
      <c r="F88" s="23">
        <v>1118510.210006</v>
      </c>
      <c r="G88" s="17"/>
      <c r="H88" s="17"/>
    </row>
    <row r="89" spans="2:8" ht="22.5" x14ac:dyDescent="0.25">
      <c r="B89" s="13" t="s">
        <v>11</v>
      </c>
      <c r="C89" s="22">
        <v>384.53959492485859</v>
      </c>
      <c r="D89" s="22">
        <v>1016.929674</v>
      </c>
      <c r="E89" s="22">
        <v>4042.6732729999999</v>
      </c>
      <c r="F89" s="22">
        <v>5454.8524509999997</v>
      </c>
      <c r="G89" s="17"/>
      <c r="H89" s="17"/>
    </row>
    <row r="90" spans="2:8" ht="45" x14ac:dyDescent="0.25">
      <c r="B90" s="13" t="s">
        <v>419</v>
      </c>
      <c r="C90" s="23"/>
      <c r="D90" s="23">
        <v>7584.4964410000002</v>
      </c>
      <c r="E90" s="23">
        <v>13920.731970999999</v>
      </c>
      <c r="F90" s="23">
        <v>29805.130109999998</v>
      </c>
      <c r="G90" s="17"/>
      <c r="H90" s="17"/>
    </row>
    <row r="91" spans="2:8" ht="56.25" x14ac:dyDescent="0.25">
      <c r="B91" s="13" t="s">
        <v>51</v>
      </c>
      <c r="C91" s="22"/>
      <c r="D91" s="22">
        <v>2670.3300899999999</v>
      </c>
      <c r="E91" s="22">
        <v>7544.4993199999999</v>
      </c>
      <c r="F91" s="22">
        <v>8795.0719769999996</v>
      </c>
      <c r="G91" s="17"/>
      <c r="H91" s="17"/>
    </row>
    <row r="92" spans="2:8" ht="22.5" x14ac:dyDescent="0.25">
      <c r="B92" s="13" t="s">
        <v>59</v>
      </c>
      <c r="C92" s="23">
        <v>3143.163561763135</v>
      </c>
      <c r="D92" s="23">
        <v>5600.8543650000001</v>
      </c>
      <c r="E92" s="23">
        <v>24345.131819999999</v>
      </c>
      <c r="F92" s="23">
        <v>34294.897366999998</v>
      </c>
      <c r="G92" s="17"/>
      <c r="H92" s="17"/>
    </row>
    <row r="93" spans="2:8" ht="45" x14ac:dyDescent="0.25">
      <c r="B93" s="13" t="s">
        <v>420</v>
      </c>
      <c r="C93" s="22"/>
      <c r="D93" s="22">
        <v>6670.4146350000001</v>
      </c>
      <c r="E93" s="22">
        <v>19783.566876000001</v>
      </c>
      <c r="F93" s="22">
        <v>27672.259147000001</v>
      </c>
      <c r="G93" s="17"/>
      <c r="H93" s="17"/>
    </row>
    <row r="94" spans="2:8" ht="33.75" x14ac:dyDescent="0.25">
      <c r="B94" s="13" t="s">
        <v>421</v>
      </c>
      <c r="C94" s="23">
        <v>11240.728351684191</v>
      </c>
      <c r="D94" s="23">
        <v>0.02</v>
      </c>
      <c r="E94" s="23">
        <v>47.404254000000002</v>
      </c>
      <c r="F94" s="23"/>
      <c r="G94" s="17"/>
      <c r="H94" s="17"/>
    </row>
    <row r="95" spans="2:8" ht="33.75" x14ac:dyDescent="0.25">
      <c r="B95" s="13" t="s">
        <v>422</v>
      </c>
      <c r="C95" s="22">
        <v>269.06240390468082</v>
      </c>
      <c r="D95" s="22">
        <v>435.81041099999999</v>
      </c>
      <c r="E95" s="22">
        <v>711.08529199999998</v>
      </c>
      <c r="F95" s="22">
        <v>1197.341279</v>
      </c>
      <c r="G95" s="17"/>
      <c r="H95" s="17"/>
    </row>
    <row r="96" spans="2:8" ht="22.5" x14ac:dyDescent="0.25">
      <c r="B96" s="13" t="s">
        <v>423</v>
      </c>
      <c r="C96" s="23">
        <v>545.2751942294891</v>
      </c>
      <c r="D96" s="23">
        <v>2089.8306299999999</v>
      </c>
      <c r="E96" s="23">
        <v>10257.898467000001</v>
      </c>
      <c r="F96" s="23">
        <v>7592.0171380000002</v>
      </c>
      <c r="G96" s="17"/>
      <c r="H96" s="17"/>
    </row>
    <row r="97" spans="2:8" ht="22.5" x14ac:dyDescent="0.25">
      <c r="B97" s="13" t="s">
        <v>156</v>
      </c>
      <c r="C97" s="22">
        <v>9377.2893540696405</v>
      </c>
      <c r="D97" s="22">
        <v>30705.833782000002</v>
      </c>
      <c r="E97" s="22">
        <v>83417.612118999998</v>
      </c>
      <c r="F97" s="22">
        <v>112970.583109</v>
      </c>
      <c r="G97" s="17"/>
      <c r="H97" s="17"/>
    </row>
    <row r="98" spans="2:8" ht="45" x14ac:dyDescent="0.25">
      <c r="B98" s="13" t="s">
        <v>424</v>
      </c>
      <c r="C98" s="23"/>
      <c r="D98" s="23"/>
      <c r="E98" s="23">
        <v>1921.1473000000001</v>
      </c>
      <c r="F98" s="23">
        <v>2390.057738</v>
      </c>
      <c r="G98" s="17"/>
      <c r="H98" s="17"/>
    </row>
    <row r="99" spans="2:8" ht="45" x14ac:dyDescent="0.25">
      <c r="B99" s="13" t="s">
        <v>425</v>
      </c>
      <c r="C99" s="22"/>
      <c r="D99" s="22">
        <v>1065.767875</v>
      </c>
      <c r="E99" s="22">
        <v>3696.5697110000001</v>
      </c>
      <c r="F99" s="22">
        <v>5836.2584379999998</v>
      </c>
      <c r="G99" s="17"/>
      <c r="H99" s="17"/>
    </row>
    <row r="100" spans="2:8" ht="22.5" x14ac:dyDescent="0.25">
      <c r="B100" s="13" t="s">
        <v>233</v>
      </c>
      <c r="C100" s="23"/>
      <c r="D100" s="23"/>
      <c r="E100" s="23">
        <v>2298.351701</v>
      </c>
      <c r="F100" s="23">
        <v>2623.5984389999999</v>
      </c>
      <c r="G100" s="17"/>
      <c r="H100" s="17"/>
    </row>
    <row r="101" spans="2:8" ht="56.25" x14ac:dyDescent="0.25">
      <c r="B101" s="13" t="s">
        <v>426</v>
      </c>
      <c r="C101" s="22"/>
      <c r="D101" s="22">
        <v>2211.2090889999999</v>
      </c>
      <c r="E101" s="22">
        <v>4585.0397890000004</v>
      </c>
      <c r="F101" s="22">
        <v>6565.0482469999997</v>
      </c>
      <c r="G101" s="17"/>
      <c r="H101" s="17"/>
    </row>
    <row r="102" spans="2:8" ht="45" x14ac:dyDescent="0.25">
      <c r="B102" s="13" t="s">
        <v>427</v>
      </c>
      <c r="C102" s="23">
        <v>12742.786243501145</v>
      </c>
      <c r="D102" s="23">
        <v>45710.917778000003</v>
      </c>
      <c r="E102" s="23">
        <v>183184.22836899999</v>
      </c>
      <c r="F102" s="23">
        <v>276936.61163399997</v>
      </c>
      <c r="G102" s="17"/>
      <c r="H102" s="17"/>
    </row>
    <row r="103" spans="2:8" ht="22.5" x14ac:dyDescent="0.25">
      <c r="B103" s="13" t="s">
        <v>282</v>
      </c>
      <c r="C103" s="22">
        <v>7449.1550050491542</v>
      </c>
      <c r="D103" s="22">
        <v>12202.272252999999</v>
      </c>
      <c r="E103" s="22">
        <v>58405.976672999997</v>
      </c>
      <c r="F103" s="22">
        <v>91076.660067000004</v>
      </c>
      <c r="G103" s="17"/>
      <c r="H103" s="17"/>
    </row>
    <row r="104" spans="2:8" ht="45" x14ac:dyDescent="0.25">
      <c r="B104" s="13" t="s">
        <v>428</v>
      </c>
      <c r="C104" s="23"/>
      <c r="D104" s="23">
        <v>43445.580037</v>
      </c>
      <c r="E104" s="23">
        <v>223339.72763000001</v>
      </c>
      <c r="F104" s="23">
        <v>219329.157263</v>
      </c>
      <c r="G104" s="17"/>
      <c r="H104" s="17"/>
    </row>
    <row r="105" spans="2:8" ht="45" x14ac:dyDescent="0.25">
      <c r="B105" s="13" t="s">
        <v>429</v>
      </c>
      <c r="C105" s="22"/>
      <c r="D105" s="22"/>
      <c r="E105" s="22">
        <v>13029.781274999999</v>
      </c>
      <c r="F105" s="22">
        <v>24294.077012000002</v>
      </c>
      <c r="G105" s="17"/>
      <c r="H105" s="17"/>
    </row>
    <row r="106" spans="2:8" ht="45" x14ac:dyDescent="0.25">
      <c r="B106" s="13" t="s">
        <v>430</v>
      </c>
      <c r="C106" s="23"/>
      <c r="D106" s="23">
        <v>2392.5119549999999</v>
      </c>
      <c r="E106" s="23"/>
      <c r="F106" s="23"/>
      <c r="G106" s="17"/>
      <c r="H106" s="17"/>
    </row>
    <row r="107" spans="2:8" ht="22.5" x14ac:dyDescent="0.25">
      <c r="B107" s="13" t="s">
        <v>351</v>
      </c>
      <c r="C107" s="22">
        <v>21483.468494542954</v>
      </c>
      <c r="D107" s="22">
        <v>52292.563133000003</v>
      </c>
      <c r="E107" s="22">
        <v>169326.49226599999</v>
      </c>
      <c r="F107" s="22">
        <v>204986.413351</v>
      </c>
      <c r="G107" s="17"/>
      <c r="H107" s="17"/>
    </row>
    <row r="108" spans="2:8" ht="22.5" x14ac:dyDescent="0.25">
      <c r="B108" s="13" t="s">
        <v>431</v>
      </c>
      <c r="C108" s="23">
        <v>19356.896541585567</v>
      </c>
      <c r="D108" s="23">
        <v>1103.6493660000001</v>
      </c>
      <c r="E108" s="23">
        <v>4.9019740000000001</v>
      </c>
      <c r="F108" s="23"/>
      <c r="G108" s="17"/>
      <c r="H108" s="17"/>
    </row>
    <row r="109" spans="2:8" ht="22.5" x14ac:dyDescent="0.25">
      <c r="B109" s="13" t="s">
        <v>358</v>
      </c>
      <c r="C109" s="22"/>
      <c r="D109" s="22">
        <v>12668.201864000001</v>
      </c>
      <c r="E109" s="22">
        <v>55354.572832999998</v>
      </c>
      <c r="F109" s="22">
        <v>53390.787991999998</v>
      </c>
      <c r="G109" s="17"/>
      <c r="H109" s="17"/>
    </row>
    <row r="110" spans="2:8" x14ac:dyDescent="0.25">
      <c r="B110" s="13" t="s">
        <v>432</v>
      </c>
      <c r="C110" s="23">
        <v>54134.022220773026</v>
      </c>
      <c r="D110" s="23">
        <v>1.1928449999999999</v>
      </c>
      <c r="E110" s="23">
        <v>7.0252999999999996E-2</v>
      </c>
      <c r="F110" s="23"/>
      <c r="G110" s="17"/>
      <c r="H110" s="17"/>
    </row>
    <row r="111" spans="2:8" ht="45" x14ac:dyDescent="0.25">
      <c r="B111" s="13" t="s">
        <v>433</v>
      </c>
      <c r="C111" s="22">
        <v>2095.461400743739</v>
      </c>
      <c r="D111" s="22">
        <v>1915.721372</v>
      </c>
      <c r="E111" s="22">
        <v>3066.9283730000002</v>
      </c>
      <c r="F111" s="22">
        <v>3299.3872470000001</v>
      </c>
      <c r="G111" s="17"/>
      <c r="H111" s="17"/>
    </row>
    <row r="112" spans="2:8" ht="56.25" x14ac:dyDescent="0.25">
      <c r="B112" s="14" t="s">
        <v>434</v>
      </c>
      <c r="C112" s="23">
        <v>130568.5315746744</v>
      </c>
      <c r="D112" s="23">
        <v>209796.248766</v>
      </c>
      <c r="E112" s="23">
        <v>851499.001162</v>
      </c>
      <c r="F112" s="23">
        <v>863795.17111899995</v>
      </c>
      <c r="G112" s="17"/>
      <c r="H112" s="17"/>
    </row>
    <row r="113" spans="2:8" ht="78.75" x14ac:dyDescent="0.25">
      <c r="B113" s="13" t="s">
        <v>435</v>
      </c>
      <c r="C113" s="22">
        <v>437.93122527864244</v>
      </c>
      <c r="D113" s="22">
        <v>965.77146400000004</v>
      </c>
      <c r="E113" s="22">
        <v>8869.1310439999997</v>
      </c>
      <c r="F113" s="22">
        <v>7117.0584509999999</v>
      </c>
      <c r="G113" s="17"/>
      <c r="H113" s="17"/>
    </row>
    <row r="114" spans="2:8" ht="22.5" x14ac:dyDescent="0.25">
      <c r="B114" s="13" t="s">
        <v>13</v>
      </c>
      <c r="C114" s="23">
        <v>9375.3869705929465</v>
      </c>
      <c r="D114" s="23">
        <v>9255.7690810000004</v>
      </c>
      <c r="E114" s="23">
        <v>38978.136923999999</v>
      </c>
      <c r="F114" s="23">
        <v>35571.143831000001</v>
      </c>
      <c r="G114" s="17"/>
      <c r="H114" s="17"/>
    </row>
    <row r="115" spans="2:8" ht="45" x14ac:dyDescent="0.25">
      <c r="B115" s="13" t="s">
        <v>436</v>
      </c>
      <c r="C115" s="22"/>
      <c r="D115" s="22">
        <v>505.70843400000001</v>
      </c>
      <c r="E115" s="22">
        <v>2239.480755</v>
      </c>
      <c r="F115" s="22">
        <v>3532.0575509999999</v>
      </c>
      <c r="G115" s="17"/>
      <c r="H115" s="17"/>
    </row>
    <row r="116" spans="2:8" ht="45" x14ac:dyDescent="0.25">
      <c r="B116" s="13" t="s">
        <v>437</v>
      </c>
      <c r="C116" s="23"/>
      <c r="D116" s="23">
        <v>1209.857105</v>
      </c>
      <c r="E116" s="23">
        <v>9598.8818240000001</v>
      </c>
      <c r="F116" s="23">
        <v>9497.5297609999998</v>
      </c>
      <c r="G116" s="17"/>
      <c r="H116" s="17"/>
    </row>
    <row r="117" spans="2:8" ht="45" x14ac:dyDescent="0.25">
      <c r="B117" s="13" t="s">
        <v>438</v>
      </c>
      <c r="C117" s="22">
        <v>3845.0662668372765</v>
      </c>
      <c r="D117" s="22">
        <v>5944.7708570000004</v>
      </c>
      <c r="E117" s="22">
        <v>15997.956409</v>
      </c>
      <c r="F117" s="22">
        <v>13976.146339999999</v>
      </c>
      <c r="G117" s="17"/>
      <c r="H117" s="17"/>
    </row>
    <row r="118" spans="2:8" ht="22.5" x14ac:dyDescent="0.25">
      <c r="B118" s="13" t="s">
        <v>101</v>
      </c>
      <c r="C118" s="23">
        <v>344.8432297901395</v>
      </c>
      <c r="D118" s="23">
        <v>977.74370499999998</v>
      </c>
      <c r="E118" s="23">
        <v>3109.2570989999999</v>
      </c>
      <c r="F118" s="23">
        <v>5817.34447</v>
      </c>
      <c r="G118" s="17"/>
      <c r="H118" s="17"/>
    </row>
    <row r="119" spans="2:8" ht="45" x14ac:dyDescent="0.25">
      <c r="B119" s="13" t="s">
        <v>439</v>
      </c>
      <c r="C119" s="22">
        <v>12182.389392702684</v>
      </c>
      <c r="D119" s="22">
        <v>19855.509869000001</v>
      </c>
      <c r="E119" s="22">
        <v>62499.282330000002</v>
      </c>
      <c r="F119" s="22">
        <v>72956.047149000005</v>
      </c>
      <c r="G119" s="17"/>
      <c r="H119" s="17"/>
    </row>
    <row r="120" spans="2:8" ht="22.5" x14ac:dyDescent="0.25">
      <c r="B120" s="13" t="s">
        <v>132</v>
      </c>
      <c r="C120" s="23"/>
      <c r="D120" s="23">
        <v>895.40117299999997</v>
      </c>
      <c r="E120" s="23">
        <v>5602.0793199999998</v>
      </c>
      <c r="F120" s="23">
        <v>8314.9914860000008</v>
      </c>
      <c r="G120" s="17"/>
      <c r="H120" s="17"/>
    </row>
    <row r="121" spans="2:8" ht="56.25" x14ac:dyDescent="0.25">
      <c r="B121" s="13" t="s">
        <v>440</v>
      </c>
      <c r="C121" s="22">
        <v>14452.21594013894</v>
      </c>
      <c r="D121" s="22">
        <v>13965.419253</v>
      </c>
      <c r="E121" s="22">
        <v>76355.130783000001</v>
      </c>
      <c r="F121" s="22">
        <v>26927.005369999999</v>
      </c>
      <c r="G121" s="17"/>
      <c r="H121" s="17"/>
    </row>
    <row r="122" spans="2:8" x14ac:dyDescent="0.25">
      <c r="B122" s="13" t="s">
        <v>166</v>
      </c>
      <c r="C122" s="23">
        <v>5942.0931934505797</v>
      </c>
      <c r="D122" s="23">
        <v>3268.9769449999999</v>
      </c>
      <c r="E122" s="23">
        <v>31905.251192</v>
      </c>
      <c r="F122" s="23">
        <v>34173.728067999997</v>
      </c>
      <c r="G122" s="17"/>
      <c r="H122" s="17"/>
    </row>
    <row r="123" spans="2:8" ht="22.5" x14ac:dyDescent="0.25">
      <c r="B123" s="13" t="s">
        <v>177</v>
      </c>
      <c r="C123" s="22">
        <v>2641.9774790893307</v>
      </c>
      <c r="D123" s="22">
        <v>5647.9224549999999</v>
      </c>
      <c r="E123" s="22">
        <v>18551.623992000001</v>
      </c>
      <c r="F123" s="22">
        <v>17065.604574000001</v>
      </c>
      <c r="G123" s="17"/>
      <c r="H123" s="17"/>
    </row>
    <row r="124" spans="2:8" ht="45" x14ac:dyDescent="0.25">
      <c r="B124" s="13" t="s">
        <v>441</v>
      </c>
      <c r="C124" s="23"/>
      <c r="D124" s="23">
        <v>5057.8751570000004</v>
      </c>
      <c r="E124" s="23">
        <v>33343.389891999999</v>
      </c>
      <c r="F124" s="23">
        <v>40588.021853999999</v>
      </c>
      <c r="G124" s="17"/>
      <c r="H124" s="17"/>
    </row>
    <row r="125" spans="2:8" ht="22.5" x14ac:dyDescent="0.25">
      <c r="B125" s="13" t="s">
        <v>189</v>
      </c>
      <c r="C125" s="22">
        <v>3480.2513247618886</v>
      </c>
      <c r="D125" s="22">
        <v>7171.0818129999998</v>
      </c>
      <c r="E125" s="22">
        <v>22620.239109999999</v>
      </c>
      <c r="F125" s="22">
        <v>25031.343242999999</v>
      </c>
      <c r="G125" s="17"/>
      <c r="H125" s="17"/>
    </row>
    <row r="126" spans="2:8" ht="33.75" x14ac:dyDescent="0.25">
      <c r="B126" s="13" t="s">
        <v>442</v>
      </c>
      <c r="C126" s="23"/>
      <c r="D126" s="23">
        <v>541.09567200000004</v>
      </c>
      <c r="E126" s="23">
        <v>6527.884403</v>
      </c>
      <c r="F126" s="23">
        <v>6733.150721</v>
      </c>
      <c r="G126" s="17"/>
      <c r="H126" s="17"/>
    </row>
    <row r="127" spans="2:8" ht="22.5" x14ac:dyDescent="0.25">
      <c r="B127" s="13" t="s">
        <v>197</v>
      </c>
      <c r="C127" s="22">
        <v>2234.9244832688601</v>
      </c>
      <c r="D127" s="22">
        <v>5718.688013</v>
      </c>
      <c r="E127" s="22">
        <v>17959.406036</v>
      </c>
      <c r="F127" s="22">
        <v>11511.560546999999</v>
      </c>
      <c r="G127" s="17"/>
      <c r="H127" s="17"/>
    </row>
    <row r="128" spans="2:8" x14ac:dyDescent="0.25">
      <c r="B128" s="13" t="s">
        <v>203</v>
      </c>
      <c r="C128" s="23">
        <v>5102.9135008110861</v>
      </c>
      <c r="D128" s="23">
        <v>3682.240092</v>
      </c>
      <c r="E128" s="23">
        <v>21140.378239999998</v>
      </c>
      <c r="F128" s="23">
        <v>12913.998496</v>
      </c>
      <c r="G128" s="17"/>
      <c r="H128" s="17"/>
    </row>
    <row r="129" spans="2:8" ht="67.5" x14ac:dyDescent="0.25">
      <c r="B129" s="13" t="s">
        <v>443</v>
      </c>
      <c r="C129" s="22">
        <v>441.46181455649071</v>
      </c>
      <c r="D129" s="22">
        <v>550.40479900000003</v>
      </c>
      <c r="E129" s="22">
        <v>2309.4010349999999</v>
      </c>
      <c r="F129" s="22">
        <v>3123.908179</v>
      </c>
      <c r="G129" s="17"/>
      <c r="H129" s="17"/>
    </row>
    <row r="130" spans="2:8" ht="22.5" x14ac:dyDescent="0.25">
      <c r="B130" s="13" t="s">
        <v>235</v>
      </c>
      <c r="C130" s="23">
        <v>7513.3486349936329</v>
      </c>
      <c r="D130" s="23">
        <v>10723.465367000001</v>
      </c>
      <c r="E130" s="23">
        <v>30674.936834</v>
      </c>
      <c r="F130" s="23">
        <v>39684.902016</v>
      </c>
      <c r="G130" s="17"/>
      <c r="H130" s="17"/>
    </row>
    <row r="131" spans="2:8" x14ac:dyDescent="0.25">
      <c r="B131" s="13" t="s">
        <v>259</v>
      </c>
      <c r="C131" s="22">
        <v>2535.8027258557572</v>
      </c>
      <c r="D131" s="22">
        <v>5137.6492010000002</v>
      </c>
      <c r="E131" s="22">
        <v>20825.372373999999</v>
      </c>
      <c r="F131" s="22">
        <v>28346.364781</v>
      </c>
      <c r="G131" s="17"/>
      <c r="H131" s="17"/>
    </row>
    <row r="132" spans="2:8" ht="22.5" x14ac:dyDescent="0.25">
      <c r="B132" s="13" t="s">
        <v>261</v>
      </c>
      <c r="C132" s="23">
        <v>7844.6808779458934</v>
      </c>
      <c r="D132" s="23">
        <v>10017.929611</v>
      </c>
      <c r="E132" s="23">
        <v>37877.500324000001</v>
      </c>
      <c r="F132" s="23">
        <v>47763.686520000003</v>
      </c>
      <c r="G132" s="17"/>
      <c r="H132" s="17"/>
    </row>
    <row r="133" spans="2:8" x14ac:dyDescent="0.25">
      <c r="B133" s="13" t="s">
        <v>280</v>
      </c>
      <c r="C133" s="22">
        <v>1465.0091286161125</v>
      </c>
      <c r="D133" s="22">
        <v>3834.1674189999999</v>
      </c>
      <c r="E133" s="22">
        <v>20702.875881</v>
      </c>
      <c r="F133" s="22">
        <v>28170.842505000001</v>
      </c>
      <c r="G133" s="17"/>
      <c r="H133" s="17"/>
    </row>
    <row r="134" spans="2:8" ht="33.75" x14ac:dyDescent="0.25">
      <c r="B134" s="13" t="s">
        <v>292</v>
      </c>
      <c r="C134" s="23">
        <v>24916.566075672334</v>
      </c>
      <c r="D134" s="23">
        <v>33334.106582</v>
      </c>
      <c r="E134" s="23">
        <v>99795.130554000003</v>
      </c>
      <c r="F134" s="23">
        <v>123747.56937300001</v>
      </c>
      <c r="G134" s="17"/>
      <c r="H134" s="17"/>
    </row>
    <row r="135" spans="2:8" ht="22.5" x14ac:dyDescent="0.25">
      <c r="B135" s="13" t="s">
        <v>310</v>
      </c>
      <c r="C135" s="22">
        <v>351.82652413206301</v>
      </c>
      <c r="D135" s="22">
        <v>230.40672900000001</v>
      </c>
      <c r="E135" s="22">
        <v>822.35467800000004</v>
      </c>
      <c r="F135" s="22">
        <v>3088.695577</v>
      </c>
      <c r="G135" s="17"/>
      <c r="H135" s="17"/>
    </row>
    <row r="136" spans="2:8" ht="22.5" x14ac:dyDescent="0.25">
      <c r="B136" s="13" t="s">
        <v>324</v>
      </c>
      <c r="C136" s="23">
        <v>1210.6174856453092</v>
      </c>
      <c r="D136" s="23">
        <v>1020.124006</v>
      </c>
      <c r="E136" s="23">
        <v>7156.1470929999996</v>
      </c>
      <c r="F136" s="23">
        <v>9876.6041249999998</v>
      </c>
      <c r="G136" s="17"/>
      <c r="H136" s="17"/>
    </row>
    <row r="137" spans="2:8" ht="45" x14ac:dyDescent="0.25">
      <c r="B137" s="13" t="s">
        <v>444</v>
      </c>
      <c r="C137" s="22">
        <v>2338.2903285452312</v>
      </c>
      <c r="D137" s="22">
        <v>4100.4737580000001</v>
      </c>
      <c r="E137" s="22">
        <v>19622.361206000001</v>
      </c>
      <c r="F137" s="22">
        <v>4734.3402809999998</v>
      </c>
      <c r="G137" s="17"/>
      <c r="H137" s="17"/>
    </row>
    <row r="138" spans="2:8" ht="45" x14ac:dyDescent="0.25">
      <c r="B138" s="13" t="s">
        <v>445</v>
      </c>
      <c r="C138" s="23"/>
      <c r="D138" s="23">
        <v>355.846949</v>
      </c>
      <c r="E138" s="23">
        <v>3335.292328</v>
      </c>
      <c r="F138" s="23">
        <v>4090.6660390000002</v>
      </c>
      <c r="G138" s="17"/>
      <c r="H138" s="17"/>
    </row>
    <row r="139" spans="2:8" ht="22.5" x14ac:dyDescent="0.25">
      <c r="B139" s="13" t="s">
        <v>349</v>
      </c>
      <c r="C139" s="22">
        <v>5298.1737626566073</v>
      </c>
      <c r="D139" s="22">
        <v>8549.3529359999993</v>
      </c>
      <c r="E139" s="22">
        <v>22731.726326</v>
      </c>
      <c r="F139" s="22">
        <v>17466.183876999999</v>
      </c>
      <c r="G139" s="17"/>
      <c r="H139" s="17"/>
    </row>
    <row r="140" spans="2:8" ht="33.75" x14ac:dyDescent="0.25">
      <c r="B140" s="13" t="s">
        <v>353</v>
      </c>
      <c r="C140" s="23"/>
      <c r="D140" s="23">
        <v>1125.337033</v>
      </c>
      <c r="E140" s="23">
        <v>4267.214806</v>
      </c>
      <c r="F140" s="23">
        <v>3100.8937940000001</v>
      </c>
      <c r="G140" s="17"/>
      <c r="H140" s="17"/>
    </row>
    <row r="141" spans="2:8" ht="45" x14ac:dyDescent="0.25">
      <c r="B141" s="13" t="s">
        <v>360</v>
      </c>
      <c r="C141" s="22">
        <v>14416.029377194289</v>
      </c>
      <c r="D141" s="22">
        <v>41075.688672999997</v>
      </c>
      <c r="E141" s="22">
        <v>186494.187867</v>
      </c>
      <c r="F141" s="22">
        <v>187509.44310400001</v>
      </c>
      <c r="G141" s="17"/>
      <c r="H141" s="17"/>
    </row>
    <row r="142" spans="2:8" ht="45" x14ac:dyDescent="0.25">
      <c r="B142" s="13" t="s">
        <v>446</v>
      </c>
      <c r="C142" s="23"/>
      <c r="D142" s="23">
        <v>2171.4748829999999</v>
      </c>
      <c r="E142" s="23">
        <v>8907.246024</v>
      </c>
      <c r="F142" s="23">
        <v>19717.017799000001</v>
      </c>
      <c r="G142" s="17"/>
      <c r="H142" s="17"/>
    </row>
    <row r="143" spans="2:8" ht="45" x14ac:dyDescent="0.25">
      <c r="B143" s="13" t="s">
        <v>375</v>
      </c>
      <c r="C143" s="22"/>
      <c r="D143" s="22">
        <v>100.035138</v>
      </c>
      <c r="E143" s="22">
        <v>389.00778800000001</v>
      </c>
      <c r="F143" s="22">
        <v>965.83420899999999</v>
      </c>
      <c r="G143" s="17"/>
      <c r="H143" s="17"/>
    </row>
    <row r="144" spans="2:8" ht="45" x14ac:dyDescent="0.25">
      <c r="B144" s="13" t="s">
        <v>447</v>
      </c>
      <c r="C144" s="23">
        <v>2080.2717683867158</v>
      </c>
      <c r="D144" s="23">
        <v>2794.7286439999998</v>
      </c>
      <c r="E144" s="23">
        <v>9345.8098659999996</v>
      </c>
      <c r="F144" s="23">
        <v>10673.343923</v>
      </c>
      <c r="G144" s="17"/>
      <c r="H144" s="17"/>
    </row>
    <row r="145" spans="2:8" ht="101.25" x14ac:dyDescent="0.25">
      <c r="B145" s="13" t="s">
        <v>448</v>
      </c>
      <c r="C145" s="22">
        <v>116.46006375153046</v>
      </c>
      <c r="D145" s="22">
        <v>11.225949999999999</v>
      </c>
      <c r="E145" s="22">
        <v>944.92682500000001</v>
      </c>
      <c r="F145" s="22">
        <v>8.1431050000000003</v>
      </c>
      <c r="G145" s="17"/>
      <c r="H145" s="17"/>
    </row>
    <row r="146" spans="2:8" ht="33.75" x14ac:dyDescent="0.25">
      <c r="B146" s="14" t="s">
        <v>449</v>
      </c>
      <c r="C146" s="23">
        <v>49508.253501683561</v>
      </c>
      <c r="D146" s="23">
        <v>87312.269167000006</v>
      </c>
      <c r="E146" s="23">
        <v>302955.67509899999</v>
      </c>
      <c r="F146" s="23">
        <v>322855.61694699997</v>
      </c>
      <c r="G146" s="17"/>
      <c r="H146" s="17"/>
    </row>
    <row r="147" spans="2:8" ht="22.5" x14ac:dyDescent="0.25">
      <c r="B147" s="13" t="s">
        <v>16</v>
      </c>
      <c r="C147" s="22">
        <v>1567.0791003512927</v>
      </c>
      <c r="D147" s="22">
        <v>2161.9362649999998</v>
      </c>
      <c r="E147" s="22">
        <v>16114.337592</v>
      </c>
      <c r="F147" s="22">
        <v>7875.1106650000002</v>
      </c>
      <c r="G147" s="17"/>
      <c r="H147" s="17"/>
    </row>
    <row r="148" spans="2:8" x14ac:dyDescent="0.25">
      <c r="B148" s="13" t="s">
        <v>45</v>
      </c>
      <c r="C148" s="23">
        <v>414.00194214274893</v>
      </c>
      <c r="D148" s="23">
        <v>1267.755917</v>
      </c>
      <c r="E148" s="23">
        <v>6582.4392559999997</v>
      </c>
      <c r="F148" s="23">
        <v>3735.0951490000002</v>
      </c>
      <c r="G148" s="17"/>
      <c r="H148" s="17"/>
    </row>
    <row r="149" spans="2:8" ht="22.5" x14ac:dyDescent="0.25">
      <c r="B149" s="13" t="s">
        <v>53</v>
      </c>
      <c r="C149" s="22">
        <v>294.97968585922547</v>
      </c>
      <c r="D149" s="22">
        <v>320.40631500000001</v>
      </c>
      <c r="E149" s="22">
        <v>5545.1050539999997</v>
      </c>
      <c r="F149" s="22">
        <v>5559.4283379999997</v>
      </c>
      <c r="G149" s="17"/>
      <c r="H149" s="17"/>
    </row>
    <row r="150" spans="2:8" ht="33.75" x14ac:dyDescent="0.25">
      <c r="B150" s="13" t="s">
        <v>61</v>
      </c>
      <c r="C150" s="23">
        <v>435.55313860334684</v>
      </c>
      <c r="D150" s="23">
        <v>410.74347999999998</v>
      </c>
      <c r="E150" s="23">
        <v>1507.376098</v>
      </c>
      <c r="F150" s="23">
        <v>3130.7346349999998</v>
      </c>
      <c r="G150" s="17"/>
      <c r="H150" s="17"/>
    </row>
    <row r="151" spans="2:8" ht="22.5" x14ac:dyDescent="0.25">
      <c r="B151" s="13" t="s">
        <v>63</v>
      </c>
      <c r="C151" s="22">
        <v>179.12826025078306</v>
      </c>
      <c r="D151" s="22">
        <v>106.602525</v>
      </c>
      <c r="E151" s="22">
        <v>432.01204100000001</v>
      </c>
      <c r="F151" s="22">
        <v>674.281836</v>
      </c>
      <c r="G151" s="17"/>
      <c r="H151" s="17"/>
    </row>
    <row r="152" spans="2:8" ht="22.5" x14ac:dyDescent="0.25">
      <c r="B152" s="13" t="s">
        <v>65</v>
      </c>
      <c r="C152" s="23">
        <v>126.60862592378128</v>
      </c>
      <c r="D152" s="23">
        <v>253.416574</v>
      </c>
      <c r="E152" s="23">
        <v>782.87543500000004</v>
      </c>
      <c r="F152" s="23">
        <v>806.71877099999995</v>
      </c>
      <c r="G152" s="17"/>
      <c r="H152" s="17"/>
    </row>
    <row r="153" spans="2:8" ht="22.5" x14ac:dyDescent="0.25">
      <c r="B153" s="13" t="s">
        <v>69</v>
      </c>
      <c r="C153" s="22">
        <v>1393.1246537092647</v>
      </c>
      <c r="D153" s="22">
        <v>1489.0980070000001</v>
      </c>
      <c r="E153" s="22">
        <v>4666.9822109999996</v>
      </c>
      <c r="F153" s="22">
        <v>6209.3772529999997</v>
      </c>
      <c r="G153" s="17"/>
      <c r="H153" s="17"/>
    </row>
    <row r="154" spans="2:8" ht="56.25" x14ac:dyDescent="0.25">
      <c r="B154" s="13" t="s">
        <v>450</v>
      </c>
      <c r="C154" s="23">
        <v>159.6312961027887</v>
      </c>
      <c r="D154" s="23">
        <v>82.663933999999998</v>
      </c>
      <c r="E154" s="23">
        <v>413.98270500000001</v>
      </c>
      <c r="F154" s="23">
        <v>330.27408800000001</v>
      </c>
      <c r="G154" s="17"/>
      <c r="H154" s="17"/>
    </row>
    <row r="155" spans="2:8" x14ac:dyDescent="0.25">
      <c r="B155" s="13" t="s">
        <v>75</v>
      </c>
      <c r="C155" s="22">
        <v>152.6643229343951</v>
      </c>
      <c r="D155" s="22">
        <v>120.587535</v>
      </c>
      <c r="E155" s="22">
        <v>1196.043353</v>
      </c>
      <c r="F155" s="22">
        <v>961.38316299999997</v>
      </c>
      <c r="G155" s="17"/>
      <c r="H155" s="17"/>
    </row>
    <row r="156" spans="2:8" ht="45" x14ac:dyDescent="0.25">
      <c r="B156" s="13" t="s">
        <v>451</v>
      </c>
      <c r="C156" s="23">
        <v>76.829699859892571</v>
      </c>
      <c r="D156" s="23">
        <v>60.579160999999999</v>
      </c>
      <c r="E156" s="23">
        <v>258.63626099999999</v>
      </c>
      <c r="F156" s="23">
        <v>280.97163899999998</v>
      </c>
      <c r="G156" s="17"/>
      <c r="H156" s="17"/>
    </row>
    <row r="157" spans="2:8" ht="56.25" x14ac:dyDescent="0.25">
      <c r="B157" s="13" t="s">
        <v>452</v>
      </c>
      <c r="C157" s="22">
        <v>1827.9148679102041</v>
      </c>
      <c r="D157" s="22">
        <v>638.97696499999995</v>
      </c>
      <c r="E157" s="22">
        <v>4032.385491</v>
      </c>
      <c r="F157" s="22">
        <v>8211.2926260000004</v>
      </c>
      <c r="G157" s="17"/>
      <c r="H157" s="17"/>
    </row>
    <row r="158" spans="2:8" ht="45" x14ac:dyDescent="0.25">
      <c r="B158" s="13" t="s">
        <v>453</v>
      </c>
      <c r="C158" s="23">
        <v>662.37264506221413</v>
      </c>
      <c r="D158" s="23">
        <v>716.09541400000001</v>
      </c>
      <c r="E158" s="23">
        <v>3337.85275</v>
      </c>
      <c r="F158" s="23">
        <v>2311.6206550000002</v>
      </c>
      <c r="G158" s="17"/>
      <c r="H158" s="17"/>
    </row>
    <row r="159" spans="2:8" ht="33.75" x14ac:dyDescent="0.25">
      <c r="B159" s="13" t="s">
        <v>91</v>
      </c>
      <c r="C159" s="22">
        <v>1736.8607693560352</v>
      </c>
      <c r="D159" s="22">
        <v>3080.4498170000002</v>
      </c>
      <c r="E159" s="22">
        <v>6966.1328439999997</v>
      </c>
      <c r="F159" s="22">
        <v>11453.409347000001</v>
      </c>
      <c r="G159" s="17"/>
      <c r="H159" s="17"/>
    </row>
    <row r="160" spans="2:8" ht="67.5" x14ac:dyDescent="0.25">
      <c r="B160" s="13" t="s">
        <v>454</v>
      </c>
      <c r="C160" s="23">
        <v>91.888796195954086</v>
      </c>
      <c r="D160" s="23">
        <v>286.28341999999998</v>
      </c>
      <c r="E160" s="23">
        <v>2441.4104390000002</v>
      </c>
      <c r="F160" s="23">
        <v>838.81080499999996</v>
      </c>
      <c r="G160" s="17"/>
      <c r="H160" s="17"/>
    </row>
    <row r="161" spans="2:8" ht="45" x14ac:dyDescent="0.25">
      <c r="B161" s="13" t="s">
        <v>455</v>
      </c>
      <c r="C161" s="22"/>
      <c r="D161" s="22">
        <v>195.762922</v>
      </c>
      <c r="E161" s="22">
        <v>468.82780400000001</v>
      </c>
      <c r="F161" s="22">
        <v>329.63420400000001</v>
      </c>
      <c r="G161" s="17"/>
      <c r="H161" s="17"/>
    </row>
    <row r="162" spans="2:8" ht="45" x14ac:dyDescent="0.25">
      <c r="B162" s="13" t="s">
        <v>456</v>
      </c>
      <c r="C162" s="23">
        <v>60.966812266953255</v>
      </c>
      <c r="D162" s="23">
        <v>97.401390000000006</v>
      </c>
      <c r="E162" s="23">
        <v>2099.8297520000001</v>
      </c>
      <c r="F162" s="23">
        <v>1405.1076869999999</v>
      </c>
      <c r="G162" s="17"/>
      <c r="H162" s="17"/>
    </row>
    <row r="163" spans="2:8" ht="90" x14ac:dyDescent="0.25">
      <c r="B163" s="13" t="s">
        <v>457</v>
      </c>
      <c r="C163" s="22">
        <v>1154.3872141985789</v>
      </c>
      <c r="D163" s="22">
        <v>1066.269438</v>
      </c>
      <c r="E163" s="22">
        <v>5302.1904729999997</v>
      </c>
      <c r="F163" s="22">
        <v>8759.446312</v>
      </c>
      <c r="G163" s="17"/>
      <c r="H163" s="17"/>
    </row>
    <row r="164" spans="2:8" ht="22.5" x14ac:dyDescent="0.25">
      <c r="B164" s="13" t="s">
        <v>128</v>
      </c>
      <c r="C164" s="23">
        <v>738.42872787821091</v>
      </c>
      <c r="D164" s="23">
        <v>1255.6164650000001</v>
      </c>
      <c r="E164" s="23">
        <v>2876.2902709999998</v>
      </c>
      <c r="F164" s="23">
        <v>2331.053672</v>
      </c>
      <c r="G164" s="17"/>
      <c r="H164" s="17"/>
    </row>
    <row r="165" spans="2:8" ht="22.5" x14ac:dyDescent="0.25">
      <c r="B165" s="13" t="s">
        <v>458</v>
      </c>
      <c r="C165" s="22">
        <v>194.92268934865166</v>
      </c>
      <c r="D165" s="22">
        <v>300.72312399999998</v>
      </c>
      <c r="E165" s="22">
        <v>759.06661099999997</v>
      </c>
      <c r="F165" s="22">
        <v>1466.247257</v>
      </c>
      <c r="G165" s="17"/>
      <c r="H165" s="17"/>
    </row>
    <row r="166" spans="2:8" ht="22.5" x14ac:dyDescent="0.25">
      <c r="B166" s="13" t="s">
        <v>136</v>
      </c>
      <c r="C166" s="23">
        <v>1465.18951020795</v>
      </c>
      <c r="D166" s="23">
        <v>2644.30746</v>
      </c>
      <c r="E166" s="23">
        <v>12126.558417</v>
      </c>
      <c r="F166" s="23">
        <v>16628.552213999999</v>
      </c>
      <c r="G166" s="17"/>
      <c r="H166" s="17"/>
    </row>
    <row r="167" spans="2:8" ht="22.5" x14ac:dyDescent="0.25">
      <c r="B167" s="13" t="s">
        <v>144</v>
      </c>
      <c r="C167" s="22">
        <v>535.57398731096248</v>
      </c>
      <c r="D167" s="22">
        <v>669.17511100000002</v>
      </c>
      <c r="E167" s="22">
        <v>2209.307937</v>
      </c>
      <c r="F167" s="22">
        <v>5028.2631709999996</v>
      </c>
      <c r="G167" s="17"/>
      <c r="H167" s="17"/>
    </row>
    <row r="168" spans="2:8" ht="45" x14ac:dyDescent="0.25">
      <c r="B168" s="13" t="s">
        <v>146</v>
      </c>
      <c r="C168" s="23">
        <v>110.5596083552948</v>
      </c>
      <c r="D168" s="23">
        <v>87.414158</v>
      </c>
      <c r="E168" s="23">
        <v>224.97915699999999</v>
      </c>
      <c r="F168" s="23">
        <v>327.43668400000001</v>
      </c>
      <c r="G168" s="17"/>
      <c r="H168" s="17"/>
    </row>
    <row r="169" spans="2:8" ht="22.5" x14ac:dyDescent="0.25">
      <c r="B169" s="13" t="s">
        <v>181</v>
      </c>
      <c r="C169" s="22">
        <v>2057.6730521399768</v>
      </c>
      <c r="D169" s="22">
        <v>4173.4899619999997</v>
      </c>
      <c r="E169" s="22">
        <v>14576.486253999999</v>
      </c>
      <c r="F169" s="22">
        <v>18249.338984999999</v>
      </c>
      <c r="G169" s="17"/>
      <c r="H169" s="17"/>
    </row>
    <row r="170" spans="2:8" ht="45" x14ac:dyDescent="0.25">
      <c r="B170" s="13" t="s">
        <v>459</v>
      </c>
      <c r="C170" s="23">
        <v>42.38908090889727</v>
      </c>
      <c r="D170" s="23">
        <v>83.598224999999999</v>
      </c>
      <c r="E170" s="23">
        <v>1605.944328</v>
      </c>
      <c r="F170" s="23">
        <v>1254.3138819999999</v>
      </c>
      <c r="G170" s="17"/>
      <c r="H170" s="17"/>
    </row>
    <row r="171" spans="2:8" ht="22.5" x14ac:dyDescent="0.25">
      <c r="B171" s="13" t="s">
        <v>201</v>
      </c>
      <c r="C171" s="22">
        <v>3880.5110553805739</v>
      </c>
      <c r="D171" s="22">
        <v>5053.9138590000002</v>
      </c>
      <c r="E171" s="22">
        <v>16517.410474</v>
      </c>
      <c r="F171" s="22">
        <v>10312.983463</v>
      </c>
      <c r="G171" s="17"/>
      <c r="H171" s="17"/>
    </row>
    <row r="172" spans="2:8" ht="56.25" x14ac:dyDescent="0.25">
      <c r="B172" s="13" t="s">
        <v>460</v>
      </c>
      <c r="C172" s="23">
        <v>474.81800358017063</v>
      </c>
      <c r="D172" s="23">
        <v>1082.754424</v>
      </c>
      <c r="E172" s="23">
        <v>2443.8181199999999</v>
      </c>
      <c r="F172" s="23">
        <v>2993.6152889999998</v>
      </c>
      <c r="G172" s="17"/>
      <c r="H172" s="17"/>
    </row>
    <row r="173" spans="2:8" ht="22.5" x14ac:dyDescent="0.25">
      <c r="B173" s="13" t="s">
        <v>211</v>
      </c>
      <c r="C173" s="22">
        <v>366.16153213559272</v>
      </c>
      <c r="D173" s="22">
        <v>528.32388400000002</v>
      </c>
      <c r="E173" s="22">
        <v>1330.7717130000001</v>
      </c>
      <c r="F173" s="22">
        <v>1568.3417380000001</v>
      </c>
      <c r="G173" s="17"/>
      <c r="H173" s="17"/>
    </row>
    <row r="174" spans="2:8" x14ac:dyDescent="0.25">
      <c r="B174" s="13" t="s">
        <v>217</v>
      </c>
      <c r="C174" s="23">
        <v>527.26987878939326</v>
      </c>
      <c r="D174" s="23">
        <v>776.58972800000004</v>
      </c>
      <c r="E174" s="23">
        <v>2436.055245</v>
      </c>
      <c r="F174" s="23">
        <v>4509.9225630000001</v>
      </c>
      <c r="G174" s="17"/>
      <c r="H174" s="17"/>
    </row>
    <row r="175" spans="2:8" ht="22.5" x14ac:dyDescent="0.25">
      <c r="B175" s="13" t="s">
        <v>224</v>
      </c>
      <c r="C175" s="22">
        <v>1170.4050923295715</v>
      </c>
      <c r="D175" s="22">
        <v>2191.4573610000002</v>
      </c>
      <c r="E175" s="22">
        <v>3981.938412</v>
      </c>
      <c r="F175" s="22">
        <v>3942.2397030000002</v>
      </c>
      <c r="G175" s="17"/>
      <c r="H175" s="17"/>
    </row>
    <row r="176" spans="2:8" ht="56.25" x14ac:dyDescent="0.25">
      <c r="B176" s="13" t="s">
        <v>461</v>
      </c>
      <c r="C176" s="23">
        <v>824.72712483724342</v>
      </c>
      <c r="D176" s="23">
        <v>1543.766208</v>
      </c>
      <c r="E176" s="23">
        <v>5711.2698909999999</v>
      </c>
      <c r="F176" s="23">
        <v>10881.137785000001</v>
      </c>
      <c r="G176" s="17"/>
      <c r="H176" s="17"/>
    </row>
    <row r="177" spans="2:8" ht="22.5" x14ac:dyDescent="0.25">
      <c r="B177" s="13" t="s">
        <v>241</v>
      </c>
      <c r="C177" s="22">
        <v>208.85023180226412</v>
      </c>
      <c r="D177" s="22">
        <v>320.59837299999998</v>
      </c>
      <c r="E177" s="22">
        <v>5360.5889219999999</v>
      </c>
      <c r="F177" s="22">
        <v>4177.7815860000001</v>
      </c>
      <c r="G177" s="17"/>
      <c r="H177" s="17"/>
    </row>
    <row r="178" spans="2:8" x14ac:dyDescent="0.25">
      <c r="B178" s="13" t="s">
        <v>251</v>
      </c>
      <c r="C178" s="23">
        <v>273.44528190752948</v>
      </c>
      <c r="D178" s="23">
        <v>823.81247099999996</v>
      </c>
      <c r="E178" s="23">
        <v>1239.069109</v>
      </c>
      <c r="F178" s="23">
        <v>1560.2722369999999</v>
      </c>
      <c r="G178" s="17"/>
      <c r="H178" s="17"/>
    </row>
    <row r="179" spans="2:8" ht="22.5" x14ac:dyDescent="0.25">
      <c r="B179" s="13" t="s">
        <v>253</v>
      </c>
      <c r="C179" s="22">
        <v>5819.7216824527759</v>
      </c>
      <c r="D179" s="22">
        <v>8222.3756919999996</v>
      </c>
      <c r="E179" s="22">
        <v>36846.088131999997</v>
      </c>
      <c r="F179" s="22">
        <v>43899.563950000003</v>
      </c>
      <c r="G179" s="17"/>
      <c r="H179" s="17"/>
    </row>
    <row r="180" spans="2:8" ht="22.5" x14ac:dyDescent="0.25">
      <c r="B180" s="13" t="s">
        <v>286</v>
      </c>
      <c r="C180" s="23">
        <v>234.8669687015917</v>
      </c>
      <c r="D180" s="23">
        <v>189.34600699999999</v>
      </c>
      <c r="E180" s="23">
        <v>917.19800499999997</v>
      </c>
      <c r="F180" s="23">
        <v>1709.91983</v>
      </c>
      <c r="G180" s="17"/>
      <c r="H180" s="17"/>
    </row>
    <row r="181" spans="2:8" ht="90" x14ac:dyDescent="0.25">
      <c r="B181" s="13" t="s">
        <v>462</v>
      </c>
      <c r="C181" s="22">
        <v>46.156517423396387</v>
      </c>
      <c r="D181" s="22">
        <v>43.472794</v>
      </c>
      <c r="E181" s="22">
        <v>165.25546199999999</v>
      </c>
      <c r="F181" s="22">
        <v>132.15978699999999</v>
      </c>
      <c r="G181" s="17"/>
      <c r="H181" s="17"/>
    </row>
    <row r="182" spans="2:8" ht="22.5" x14ac:dyDescent="0.25">
      <c r="B182" s="13" t="s">
        <v>294</v>
      </c>
      <c r="C182" s="23">
        <v>1245.065252970561</v>
      </c>
      <c r="D182" s="23">
        <v>1889.590786</v>
      </c>
      <c r="E182" s="23">
        <v>6095.266842</v>
      </c>
      <c r="F182" s="23">
        <v>11099.325801999999</v>
      </c>
      <c r="G182" s="17"/>
      <c r="H182" s="17"/>
    </row>
    <row r="183" spans="2:8" ht="22.5" x14ac:dyDescent="0.25">
      <c r="B183" s="13" t="s">
        <v>298</v>
      </c>
      <c r="C183" s="22">
        <v>147.6268490800035</v>
      </c>
      <c r="D183" s="22">
        <v>291.44006999999999</v>
      </c>
      <c r="E183" s="22">
        <v>1130.3487709999999</v>
      </c>
      <c r="F183" s="22">
        <v>977.85902499999997</v>
      </c>
      <c r="G183" s="17"/>
      <c r="H183" s="17"/>
    </row>
    <row r="184" spans="2:8" ht="22.5" x14ac:dyDescent="0.25">
      <c r="B184" s="13" t="s">
        <v>300</v>
      </c>
      <c r="C184" s="23">
        <v>216.87447628825825</v>
      </c>
      <c r="D184" s="23">
        <v>279.55144899999999</v>
      </c>
      <c r="E184" s="23">
        <v>837.718254</v>
      </c>
      <c r="F184" s="23">
        <v>1325.3914950000001</v>
      </c>
      <c r="G184" s="17"/>
      <c r="H184" s="17"/>
    </row>
    <row r="185" spans="2:8" ht="22.5" x14ac:dyDescent="0.25">
      <c r="B185" s="13" t="s">
        <v>311</v>
      </c>
      <c r="C185" s="22">
        <v>12168.176436734284</v>
      </c>
      <c r="D185" s="22">
        <v>34013.031212000002</v>
      </c>
      <c r="E185" s="22">
        <v>97492.811367999995</v>
      </c>
      <c r="F185" s="22">
        <v>78526.961456000005</v>
      </c>
      <c r="G185" s="17"/>
      <c r="H185" s="17"/>
    </row>
    <row r="186" spans="2:8" ht="56.25" x14ac:dyDescent="0.25">
      <c r="B186" s="13" t="s">
        <v>463</v>
      </c>
      <c r="C186" s="23"/>
      <c r="D186" s="23"/>
      <c r="E186" s="23"/>
      <c r="F186" s="23">
        <v>927.74260000000004</v>
      </c>
      <c r="G186" s="17"/>
      <c r="H186" s="17"/>
    </row>
    <row r="187" spans="2:8" ht="56.25" x14ac:dyDescent="0.25">
      <c r="B187" s="13" t="s">
        <v>464</v>
      </c>
      <c r="C187" s="22">
        <v>1179.4363442853012</v>
      </c>
      <c r="D187" s="22">
        <v>3631.8245619999998</v>
      </c>
      <c r="E187" s="22">
        <v>9646.0145599999996</v>
      </c>
      <c r="F187" s="22">
        <v>11823.366855</v>
      </c>
      <c r="G187" s="17"/>
      <c r="H187" s="17"/>
    </row>
    <row r="188" spans="2:8" x14ac:dyDescent="0.25">
      <c r="B188" s="13" t="s">
        <v>343</v>
      </c>
      <c r="C188" s="23">
        <v>722.01378659658803</v>
      </c>
      <c r="D188" s="23">
        <v>814.417731</v>
      </c>
      <c r="E188" s="23">
        <v>3522.291757</v>
      </c>
      <c r="F188" s="23">
        <v>10154.829411999999</v>
      </c>
      <c r="G188" s="17"/>
      <c r="H188" s="17"/>
    </row>
    <row r="189" spans="2:8" ht="22.5" x14ac:dyDescent="0.25">
      <c r="B189" s="13" t="s">
        <v>356</v>
      </c>
      <c r="C189" s="22">
        <v>529.43787853341553</v>
      </c>
      <c r="D189" s="22">
        <v>825.53146600000002</v>
      </c>
      <c r="E189" s="22">
        <v>2962.8031810000002</v>
      </c>
      <c r="F189" s="22">
        <v>4971.110482</v>
      </c>
      <c r="G189" s="17"/>
      <c r="H189" s="17"/>
    </row>
    <row r="190" spans="2:8" ht="22.5" x14ac:dyDescent="0.25">
      <c r="B190" s="13" t="s">
        <v>379</v>
      </c>
      <c r="C190" s="23">
        <v>846.22309027523386</v>
      </c>
      <c r="D190" s="23">
        <v>1587.7296180000001</v>
      </c>
      <c r="E190" s="23">
        <v>3732.7427259999999</v>
      </c>
      <c r="F190" s="23">
        <v>5047.4397360000003</v>
      </c>
      <c r="G190" s="17"/>
      <c r="H190" s="17"/>
    </row>
    <row r="191" spans="2:8" ht="22.5" x14ac:dyDescent="0.25">
      <c r="B191" s="13" t="s">
        <v>381</v>
      </c>
      <c r="C191" s="22">
        <v>1150.058824023484</v>
      </c>
      <c r="D191" s="22">
        <v>1442.8765619999999</v>
      </c>
      <c r="E191" s="22">
        <v>3541.0169519999999</v>
      </c>
      <c r="F191" s="22">
        <v>3841.319559</v>
      </c>
      <c r="G191" s="17"/>
      <c r="H191" s="17"/>
    </row>
    <row r="192" spans="2:8" ht="45" x14ac:dyDescent="0.25">
      <c r="B192" s="13" t="s">
        <v>465</v>
      </c>
      <c r="C192" s="23">
        <v>1997.6787066789202</v>
      </c>
      <c r="D192" s="23">
        <v>190.511326</v>
      </c>
      <c r="E192" s="23">
        <v>518.14466900000002</v>
      </c>
      <c r="F192" s="23">
        <v>314.42955599999999</v>
      </c>
      <c r="G192" s="17"/>
      <c r="H192" s="17"/>
    </row>
    <row r="193" spans="2:8" ht="45" x14ac:dyDescent="0.25">
      <c r="B193" s="14" t="s">
        <v>466</v>
      </c>
      <c r="C193" s="22">
        <v>125492.23389472793</v>
      </c>
      <c r="D193" s="22">
        <v>366949.50068499998</v>
      </c>
      <c r="E193" s="22">
        <v>865535.19527200004</v>
      </c>
      <c r="F193" s="22">
        <v>871491.45399399998</v>
      </c>
      <c r="G193" s="17"/>
      <c r="H193" s="17"/>
    </row>
    <row r="194" spans="2:8" ht="22.5" x14ac:dyDescent="0.25">
      <c r="B194" s="13" t="s">
        <v>467</v>
      </c>
      <c r="C194" s="23"/>
      <c r="D194" s="23">
        <v>20.070831999999999</v>
      </c>
      <c r="E194" s="23">
        <v>32.536707999999997</v>
      </c>
      <c r="F194" s="23">
        <v>294.41271899999998</v>
      </c>
      <c r="G194" s="17"/>
      <c r="H194" s="17"/>
    </row>
    <row r="195" spans="2:8" ht="56.25" x14ac:dyDescent="0.25">
      <c r="B195" s="13" t="s">
        <v>18</v>
      </c>
      <c r="C195" s="22">
        <v>148.86147324138329</v>
      </c>
      <c r="D195" s="22">
        <v>1205.716107</v>
      </c>
      <c r="E195" s="22">
        <v>1891.6099810000001</v>
      </c>
      <c r="F195" s="22">
        <v>850.09839299999999</v>
      </c>
      <c r="G195" s="17"/>
      <c r="H195" s="17"/>
    </row>
    <row r="196" spans="2:8" ht="22.5" x14ac:dyDescent="0.25">
      <c r="B196" s="13" t="s">
        <v>20</v>
      </c>
      <c r="C196" s="23">
        <v>4971.3622949024493</v>
      </c>
      <c r="D196" s="23">
        <v>22263.934298</v>
      </c>
      <c r="E196" s="23">
        <v>53392.251056000001</v>
      </c>
      <c r="F196" s="23">
        <v>40496.080295</v>
      </c>
      <c r="G196" s="17"/>
      <c r="H196" s="17"/>
    </row>
    <row r="197" spans="2:8" ht="78.75" x14ac:dyDescent="0.25">
      <c r="B197" s="13" t="s">
        <v>468</v>
      </c>
      <c r="C197" s="22">
        <v>330.50560963656329</v>
      </c>
      <c r="D197" s="22">
        <v>543.27760699999999</v>
      </c>
      <c r="E197" s="22">
        <v>1230.0747429999999</v>
      </c>
      <c r="F197" s="22">
        <v>1062.9439950000001</v>
      </c>
      <c r="G197" s="17"/>
      <c r="H197" s="17"/>
    </row>
    <row r="198" spans="2:8" ht="33.75" x14ac:dyDescent="0.25">
      <c r="B198" s="13" t="s">
        <v>469</v>
      </c>
      <c r="C198" s="23">
        <v>2129.4475005292279</v>
      </c>
      <c r="D198" s="23">
        <v>3581.7966999999999</v>
      </c>
      <c r="E198" s="23">
        <v>10993.988873</v>
      </c>
      <c r="F198" s="23">
        <v>5485.529493</v>
      </c>
      <c r="G198" s="17"/>
      <c r="H198" s="17"/>
    </row>
    <row r="199" spans="2:8" ht="22.5" x14ac:dyDescent="0.25">
      <c r="B199" s="13" t="s">
        <v>37</v>
      </c>
      <c r="C199" s="22">
        <v>539.3442182730613</v>
      </c>
      <c r="D199" s="22">
        <v>895.50578399999995</v>
      </c>
      <c r="E199" s="22">
        <v>1758.2421919999999</v>
      </c>
      <c r="F199" s="22">
        <v>1399.725365</v>
      </c>
      <c r="G199" s="17"/>
      <c r="H199" s="17"/>
    </row>
    <row r="200" spans="2:8" x14ac:dyDescent="0.25">
      <c r="B200" s="13" t="s">
        <v>43</v>
      </c>
      <c r="C200" s="23">
        <v>228.37416174818199</v>
      </c>
      <c r="D200" s="23">
        <v>413.25616200000002</v>
      </c>
      <c r="E200" s="23">
        <v>702.05868699999996</v>
      </c>
      <c r="F200" s="23">
        <v>972.96994900000004</v>
      </c>
      <c r="G200" s="17"/>
      <c r="H200" s="17"/>
    </row>
    <row r="201" spans="2:8" ht="22.5" x14ac:dyDescent="0.25">
      <c r="B201" s="13" t="s">
        <v>470</v>
      </c>
      <c r="C201" s="22">
        <v>776.30628526157705</v>
      </c>
      <c r="D201" s="22">
        <v>3785.3294059999998</v>
      </c>
      <c r="E201" s="22">
        <v>3993.043298</v>
      </c>
      <c r="F201" s="22">
        <v>2491.869162</v>
      </c>
      <c r="G201" s="17"/>
      <c r="H201" s="17"/>
    </row>
    <row r="202" spans="2:8" ht="22.5" x14ac:dyDescent="0.25">
      <c r="B202" s="13" t="s">
        <v>49</v>
      </c>
      <c r="C202" s="23">
        <v>759.85666685470142</v>
      </c>
      <c r="D202" s="23">
        <v>1500.7484959999999</v>
      </c>
      <c r="E202" s="23">
        <v>5120.9539459999996</v>
      </c>
      <c r="F202" s="23">
        <v>5409.3444239999999</v>
      </c>
      <c r="G202" s="17"/>
      <c r="H202" s="17"/>
    </row>
    <row r="203" spans="2:8" x14ac:dyDescent="0.25">
      <c r="B203" s="13" t="s">
        <v>55</v>
      </c>
      <c r="C203" s="22">
        <v>21289.637694157471</v>
      </c>
      <c r="D203" s="22">
        <v>58794.409076000004</v>
      </c>
      <c r="E203" s="22">
        <v>187475.93695900001</v>
      </c>
      <c r="F203" s="22">
        <v>163120.33698600001</v>
      </c>
      <c r="G203" s="17"/>
      <c r="H203" s="17"/>
    </row>
    <row r="204" spans="2:8" x14ac:dyDescent="0.25">
      <c r="B204" s="13" t="s">
        <v>77</v>
      </c>
      <c r="C204" s="23">
        <v>6670.0967830037953</v>
      </c>
      <c r="D204" s="23">
        <v>16901.359200999999</v>
      </c>
      <c r="E204" s="23">
        <v>51777.172834999998</v>
      </c>
      <c r="F204" s="23">
        <v>57524.801476000001</v>
      </c>
      <c r="G204" s="17"/>
      <c r="H204" s="17"/>
    </row>
    <row r="205" spans="2:8" ht="22.5" x14ac:dyDescent="0.25">
      <c r="B205" s="13" t="s">
        <v>81</v>
      </c>
      <c r="C205" s="22">
        <v>5147.5291634445221</v>
      </c>
      <c r="D205" s="22">
        <v>10245.004534</v>
      </c>
      <c r="E205" s="22">
        <v>37674.624992999998</v>
      </c>
      <c r="F205" s="22">
        <v>41616.095882000001</v>
      </c>
      <c r="G205" s="17"/>
      <c r="H205" s="17"/>
    </row>
    <row r="206" spans="2:8" ht="22.5" x14ac:dyDescent="0.25">
      <c r="B206" s="13" t="s">
        <v>89</v>
      </c>
      <c r="C206" s="23">
        <v>2015.264975139198</v>
      </c>
      <c r="D206" s="23">
        <v>5343.0316249999996</v>
      </c>
      <c r="E206" s="23">
        <v>11724.796419</v>
      </c>
      <c r="F206" s="23">
        <v>12732.091571000001</v>
      </c>
      <c r="G206" s="17"/>
      <c r="H206" s="17"/>
    </row>
    <row r="207" spans="2:8" ht="78.75" x14ac:dyDescent="0.25">
      <c r="B207" s="13" t="s">
        <v>471</v>
      </c>
      <c r="C207" s="22"/>
      <c r="D207" s="22"/>
      <c r="E207" s="22">
        <v>6.3070000000000004</v>
      </c>
      <c r="F207" s="22">
        <v>946.34816699999999</v>
      </c>
      <c r="G207" s="17"/>
      <c r="H207" s="17"/>
    </row>
    <row r="208" spans="2:8" ht="22.5" x14ac:dyDescent="0.25">
      <c r="B208" s="13" t="s">
        <v>103</v>
      </c>
      <c r="C208" s="23">
        <v>140.27271648185027</v>
      </c>
      <c r="D208" s="23">
        <v>213.27511699999999</v>
      </c>
      <c r="E208" s="23">
        <v>489.94838399999998</v>
      </c>
      <c r="F208" s="23">
        <v>262.74281300000001</v>
      </c>
      <c r="G208" s="17"/>
      <c r="H208" s="17"/>
    </row>
    <row r="209" spans="2:8" ht="33.75" x14ac:dyDescent="0.25">
      <c r="B209" s="13" t="s">
        <v>472</v>
      </c>
      <c r="C209" s="22">
        <v>2914.6103251885302</v>
      </c>
      <c r="D209" s="22">
        <v>8621.5576330000004</v>
      </c>
      <c r="E209" s="22">
        <v>13771.603000999999</v>
      </c>
      <c r="F209" s="22">
        <v>16098.418808</v>
      </c>
      <c r="G209" s="17"/>
      <c r="H209" s="17"/>
    </row>
    <row r="210" spans="2:8" ht="22.5" x14ac:dyDescent="0.25">
      <c r="B210" s="13" t="s">
        <v>107</v>
      </c>
      <c r="C210" s="23">
        <v>1928.6214241699004</v>
      </c>
      <c r="D210" s="23">
        <v>3513.7157860000002</v>
      </c>
      <c r="E210" s="23">
        <v>17834.290162000001</v>
      </c>
      <c r="F210" s="23">
        <v>15756.874432000001</v>
      </c>
      <c r="G210" s="17"/>
      <c r="H210" s="17"/>
    </row>
    <row r="211" spans="2:8" ht="33.75" x14ac:dyDescent="0.25">
      <c r="B211" s="13" t="s">
        <v>111</v>
      </c>
      <c r="C211" s="22">
        <v>1240.0052546143172</v>
      </c>
      <c r="D211" s="22">
        <v>4383.6885730000004</v>
      </c>
      <c r="E211" s="22">
        <v>6705.8173029999998</v>
      </c>
      <c r="F211" s="22">
        <v>8609.8036269999993</v>
      </c>
      <c r="G211" s="17"/>
      <c r="H211" s="17"/>
    </row>
    <row r="212" spans="2:8" ht="67.5" x14ac:dyDescent="0.25">
      <c r="B212" s="13" t="s">
        <v>473</v>
      </c>
      <c r="C212" s="23">
        <v>32.397173070219111</v>
      </c>
      <c r="D212" s="23">
        <v>59.583207999999999</v>
      </c>
      <c r="E212" s="23">
        <v>109.37319100000001</v>
      </c>
      <c r="F212" s="23">
        <v>114.14725300000001</v>
      </c>
      <c r="G212" s="17"/>
      <c r="H212" s="17"/>
    </row>
    <row r="213" spans="2:8" ht="22.5" x14ac:dyDescent="0.25">
      <c r="B213" s="13" t="s">
        <v>474</v>
      </c>
      <c r="C213" s="22">
        <v>275.95776551877998</v>
      </c>
      <c r="D213" s="22">
        <v>397.647198</v>
      </c>
      <c r="E213" s="22">
        <v>867.37064599999997</v>
      </c>
      <c r="F213" s="22">
        <v>822.88964899999996</v>
      </c>
      <c r="G213" s="17"/>
      <c r="H213" s="17"/>
    </row>
    <row r="214" spans="2:8" ht="22.5" x14ac:dyDescent="0.25">
      <c r="B214" s="13" t="s">
        <v>140</v>
      </c>
      <c r="C214" s="23">
        <v>102.50107605860966</v>
      </c>
      <c r="D214" s="23">
        <v>190.538556</v>
      </c>
      <c r="E214" s="23">
        <v>214.09852000000001</v>
      </c>
      <c r="F214" s="23">
        <v>319.99259699999999</v>
      </c>
      <c r="G214" s="17"/>
      <c r="H214" s="17"/>
    </row>
    <row r="215" spans="2:8" ht="22.5" x14ac:dyDescent="0.25">
      <c r="B215" s="13" t="s">
        <v>142</v>
      </c>
      <c r="C215" s="22">
        <v>1787.4743462351325</v>
      </c>
      <c r="D215" s="22">
        <v>5364.6906719999997</v>
      </c>
      <c r="E215" s="22">
        <v>11391.284019999999</v>
      </c>
      <c r="F215" s="22">
        <v>15893.636553</v>
      </c>
      <c r="G215" s="17"/>
      <c r="H215" s="17"/>
    </row>
    <row r="216" spans="2:8" ht="22.5" x14ac:dyDescent="0.25">
      <c r="B216" s="13" t="s">
        <v>148</v>
      </c>
      <c r="C216" s="23">
        <v>251.96126119216163</v>
      </c>
      <c r="D216" s="23">
        <v>572.01498400000003</v>
      </c>
      <c r="E216" s="23">
        <v>1233.9820340000001</v>
      </c>
      <c r="F216" s="23">
        <v>2424.1214759999998</v>
      </c>
      <c r="G216" s="17"/>
      <c r="H216" s="17"/>
    </row>
    <row r="217" spans="2:8" x14ac:dyDescent="0.25">
      <c r="B217" s="13" t="s">
        <v>150</v>
      </c>
      <c r="C217" s="22">
        <v>750.48671605690572</v>
      </c>
      <c r="D217" s="22">
        <v>1160.7402030000001</v>
      </c>
      <c r="E217" s="22">
        <v>3702.9814249999999</v>
      </c>
      <c r="F217" s="22">
        <v>4171.6188920000004</v>
      </c>
      <c r="G217" s="17"/>
      <c r="H217" s="17"/>
    </row>
    <row r="218" spans="2:8" ht="22.5" x14ac:dyDescent="0.25">
      <c r="B218" s="13" t="s">
        <v>152</v>
      </c>
      <c r="C218" s="23">
        <v>1127.2850367262563</v>
      </c>
      <c r="D218" s="23">
        <v>4485.7458589999997</v>
      </c>
      <c r="E218" s="23">
        <v>8480.6060600000001</v>
      </c>
      <c r="F218" s="23">
        <v>9634.6925570000003</v>
      </c>
      <c r="G218" s="17"/>
      <c r="H218" s="17"/>
    </row>
    <row r="219" spans="2:8" ht="22.5" x14ac:dyDescent="0.25">
      <c r="B219" s="13" t="s">
        <v>173</v>
      </c>
      <c r="C219" s="22">
        <v>1881.6716332258993</v>
      </c>
      <c r="D219" s="22">
        <v>2872.7451040000001</v>
      </c>
      <c r="E219" s="22">
        <v>4634.627649</v>
      </c>
      <c r="F219" s="22">
        <v>4461.5212670000001</v>
      </c>
      <c r="G219" s="17"/>
      <c r="H219" s="17"/>
    </row>
    <row r="220" spans="2:8" ht="22.5" x14ac:dyDescent="0.25">
      <c r="B220" s="13" t="s">
        <v>226</v>
      </c>
      <c r="C220" s="23">
        <v>40131.333692680011</v>
      </c>
      <c r="D220" s="23">
        <v>143346.04913</v>
      </c>
      <c r="E220" s="23">
        <v>256059.337058</v>
      </c>
      <c r="F220" s="23">
        <v>348399.42643200001</v>
      </c>
      <c r="G220" s="17"/>
      <c r="H220" s="17"/>
    </row>
    <row r="221" spans="2:8" ht="22.5" x14ac:dyDescent="0.25">
      <c r="B221" s="13" t="s">
        <v>475</v>
      </c>
      <c r="C221" s="22"/>
      <c r="D221" s="22">
        <v>5.9125069999999997</v>
      </c>
      <c r="E221" s="22">
        <v>4.1475770000000001</v>
      </c>
      <c r="F221" s="22">
        <v>20.543686000000001</v>
      </c>
      <c r="G221" s="17"/>
      <c r="H221" s="17"/>
    </row>
    <row r="222" spans="2:8" ht="45" x14ac:dyDescent="0.25">
      <c r="B222" s="13" t="s">
        <v>476</v>
      </c>
      <c r="C222" s="23">
        <v>1449.5585489161688</v>
      </c>
      <c r="D222" s="23">
        <v>6992.755956</v>
      </c>
      <c r="E222" s="23">
        <v>8194.7697800000005</v>
      </c>
      <c r="F222" s="23">
        <v>575.05513099999996</v>
      </c>
      <c r="G222" s="17"/>
      <c r="H222" s="17"/>
    </row>
    <row r="223" spans="2:8" ht="22.5" x14ac:dyDescent="0.25">
      <c r="B223" s="13" t="s">
        <v>249</v>
      </c>
      <c r="C223" s="22">
        <v>455.25652326975234</v>
      </c>
      <c r="D223" s="22">
        <v>1557.8713009999999</v>
      </c>
      <c r="E223" s="22">
        <v>4112.5868049999999</v>
      </c>
      <c r="F223" s="22">
        <v>5278.844787</v>
      </c>
      <c r="G223" s="17"/>
      <c r="H223" s="17"/>
    </row>
    <row r="224" spans="2:8" ht="22.5" x14ac:dyDescent="0.25">
      <c r="B224" s="13" t="s">
        <v>265</v>
      </c>
      <c r="C224" s="23">
        <v>7588.6341468865594</v>
      </c>
      <c r="D224" s="23">
        <v>16058.00194</v>
      </c>
      <c r="E224" s="23">
        <v>56438.170705999997</v>
      </c>
      <c r="F224" s="23">
        <v>32580.866750000001</v>
      </c>
      <c r="G224" s="17"/>
      <c r="H224" s="17"/>
    </row>
    <row r="225" spans="2:8" ht="22.5" x14ac:dyDescent="0.25">
      <c r="B225" s="13" t="s">
        <v>269</v>
      </c>
      <c r="C225" s="22">
        <v>1675.6880731631609</v>
      </c>
      <c r="D225" s="22">
        <v>2739.961452</v>
      </c>
      <c r="E225" s="22">
        <v>8616.6578939999999</v>
      </c>
      <c r="F225" s="22">
        <v>7598.3713459999999</v>
      </c>
      <c r="G225" s="17"/>
      <c r="H225" s="17"/>
    </row>
    <row r="226" spans="2:8" x14ac:dyDescent="0.25">
      <c r="B226" s="13" t="s">
        <v>271</v>
      </c>
      <c r="C226" s="23">
        <v>2426.4860995586346</v>
      </c>
      <c r="D226" s="23">
        <v>6624.4859729999998</v>
      </c>
      <c r="E226" s="23">
        <v>27862.064169000001</v>
      </c>
      <c r="F226" s="23">
        <v>33641.102250000004</v>
      </c>
      <c r="G226" s="17"/>
      <c r="H226" s="17"/>
    </row>
    <row r="227" spans="2:8" ht="90" x14ac:dyDescent="0.25">
      <c r="B227" s="13" t="s">
        <v>477</v>
      </c>
      <c r="C227" s="22"/>
      <c r="D227" s="22"/>
      <c r="E227" s="22"/>
      <c r="F227" s="22">
        <v>597.99024799999995</v>
      </c>
      <c r="G227" s="17"/>
      <c r="H227" s="17"/>
    </row>
    <row r="228" spans="2:8" ht="45" x14ac:dyDescent="0.25">
      <c r="B228" s="13" t="s">
        <v>318</v>
      </c>
      <c r="C228" s="23">
        <v>98.573071983162691</v>
      </c>
      <c r="D228" s="23">
        <v>164.268101</v>
      </c>
      <c r="E228" s="23">
        <v>343.64793300000002</v>
      </c>
      <c r="F228" s="23">
        <v>293.60174000000001</v>
      </c>
      <c r="G228" s="17"/>
      <c r="H228" s="17"/>
    </row>
    <row r="229" spans="2:8" ht="22.5" x14ac:dyDescent="0.25">
      <c r="B229" s="13" t="s">
        <v>320</v>
      </c>
      <c r="C229" s="22">
        <v>180.36271236402703</v>
      </c>
      <c r="D229" s="22">
        <v>327.83859000000001</v>
      </c>
      <c r="E229" s="22">
        <v>3509.2744859999998</v>
      </c>
      <c r="F229" s="22">
        <v>1244.4603790000001</v>
      </c>
      <c r="G229" s="17"/>
      <c r="H229" s="17"/>
    </row>
    <row r="230" spans="2:8" ht="67.5" x14ac:dyDescent="0.25">
      <c r="B230" s="13" t="s">
        <v>322</v>
      </c>
      <c r="C230" s="23">
        <v>125.10982951961302</v>
      </c>
      <c r="D230" s="23">
        <v>344.18473699999998</v>
      </c>
      <c r="E230" s="23">
        <v>560.81314399999997</v>
      </c>
      <c r="F230" s="23">
        <v>259.142404</v>
      </c>
      <c r="G230" s="17"/>
      <c r="H230" s="17"/>
    </row>
    <row r="231" spans="2:8" ht="22.5" x14ac:dyDescent="0.25">
      <c r="B231" s="13" t="s">
        <v>326</v>
      </c>
      <c r="C231" s="22">
        <v>417.58578214708024</v>
      </c>
      <c r="D231" s="22">
        <v>437.68986799999999</v>
      </c>
      <c r="E231" s="22">
        <v>1426.029358</v>
      </c>
      <c r="F231" s="22">
        <v>1222.7442860000001</v>
      </c>
      <c r="G231" s="17"/>
      <c r="H231" s="17"/>
    </row>
    <row r="232" spans="2:8" ht="56.25" x14ac:dyDescent="0.25">
      <c r="B232" s="13" t="s">
        <v>347</v>
      </c>
      <c r="C232" s="23">
        <v>1014.6066656064754</v>
      </c>
      <c r="D232" s="23">
        <v>2913.4924980000001</v>
      </c>
      <c r="E232" s="23">
        <v>5100.1189009999998</v>
      </c>
      <c r="F232" s="23">
        <v>5066.9374959999996</v>
      </c>
      <c r="G232" s="17"/>
      <c r="H232" s="17"/>
    </row>
    <row r="233" spans="2:8" ht="22.5" x14ac:dyDescent="0.25">
      <c r="B233" s="13" t="s">
        <v>366</v>
      </c>
      <c r="C233" s="22">
        <v>1367.107432536694</v>
      </c>
      <c r="D233" s="22">
        <v>4380.9193839999998</v>
      </c>
      <c r="E233" s="22">
        <v>9677.9915469999996</v>
      </c>
      <c r="F233" s="22">
        <v>9618.074971</v>
      </c>
      <c r="G233" s="17"/>
      <c r="H233" s="17"/>
    </row>
    <row r="234" spans="2:8" ht="67.5" x14ac:dyDescent="0.25">
      <c r="B234" s="13" t="s">
        <v>478</v>
      </c>
      <c r="C234" s="23">
        <v>7435.2203042782003</v>
      </c>
      <c r="D234" s="23">
        <v>14817.318438</v>
      </c>
      <c r="E234" s="23">
        <v>35467.297809000003</v>
      </c>
      <c r="F234" s="23">
        <v>6587.6055740000002</v>
      </c>
      <c r="G234" s="17"/>
      <c r="H234" s="17"/>
    </row>
    <row r="235" spans="2:8" ht="78.75" x14ac:dyDescent="0.25">
      <c r="B235" s="13" t="s">
        <v>479</v>
      </c>
      <c r="C235" s="22">
        <v>3686.8794570876794</v>
      </c>
      <c r="D235" s="22">
        <v>8909.3680889999996</v>
      </c>
      <c r="E235" s="22">
        <v>10952.70802</v>
      </c>
      <c r="F235" s="22">
        <v>5533.5787129999999</v>
      </c>
      <c r="G235" s="17"/>
      <c r="H235" s="17"/>
    </row>
    <row r="236" spans="2:8" ht="56.25" x14ac:dyDescent="0.25">
      <c r="B236" s="16" t="s">
        <v>480</v>
      </c>
      <c r="C236" s="23">
        <v>3887.8203227816057</v>
      </c>
      <c r="D236" s="23">
        <v>5291.5268400000004</v>
      </c>
      <c r="E236" s="23">
        <v>12309.519651000001</v>
      </c>
      <c r="F236" s="23">
        <v>4654.7090420000004</v>
      </c>
      <c r="G236" s="17"/>
      <c r="H236" s="17"/>
    </row>
    <row r="237" spans="2:8" x14ac:dyDescent="0.25">
      <c r="B237" s="15" t="s">
        <v>481</v>
      </c>
      <c r="C237" s="22">
        <v>2684.5624235347927</v>
      </c>
      <c r="D237" s="22">
        <v>3459.6573899999999</v>
      </c>
      <c r="E237" s="22">
        <v>8665.0066590000006</v>
      </c>
      <c r="F237" s="22">
        <v>4065.5172210000001</v>
      </c>
      <c r="G237" s="17"/>
      <c r="H237" s="17"/>
    </row>
    <row r="238" spans="2:8" ht="45" x14ac:dyDescent="0.25">
      <c r="B238" s="15" t="s">
        <v>482</v>
      </c>
      <c r="C238" s="23">
        <v>1203.2578992468111</v>
      </c>
      <c r="D238" s="23">
        <v>1831.8694499999999</v>
      </c>
      <c r="E238" s="23">
        <v>3644.5129919999999</v>
      </c>
      <c r="F238" s="23">
        <v>589.19182100000046</v>
      </c>
      <c r="G238" s="17"/>
      <c r="H238" s="17"/>
    </row>
    <row r="239" spans="2:8" ht="22.5" x14ac:dyDescent="0.25">
      <c r="B239" s="16" t="s">
        <v>483</v>
      </c>
      <c r="C239" s="22">
        <v>25868.938790962507</v>
      </c>
      <c r="D239" s="22">
        <v>8506.3200460000007</v>
      </c>
      <c r="E239" s="22">
        <v>42101.030562</v>
      </c>
      <c r="F239" s="22">
        <v>39049.038441999997</v>
      </c>
      <c r="G239" s="17"/>
      <c r="H239" s="17"/>
    </row>
    <row r="240" spans="2:8" ht="33.75" x14ac:dyDescent="0.25">
      <c r="B240" s="16" t="s">
        <v>484</v>
      </c>
      <c r="C240" s="23">
        <v>20540.373593351243</v>
      </c>
      <c r="D240" s="23">
        <v>44720.205757999996</v>
      </c>
      <c r="E240" s="23">
        <v>141521.08719300001</v>
      </c>
      <c r="F240" s="23">
        <v>87103.478193000003</v>
      </c>
      <c r="G240" s="17"/>
      <c r="H240" s="17"/>
    </row>
    <row r="241" spans="2:8" ht="22.5" x14ac:dyDescent="0.25">
      <c r="B241" s="16" t="s">
        <v>485</v>
      </c>
      <c r="C241" s="22"/>
      <c r="D241" s="22"/>
      <c r="E241" s="22"/>
      <c r="F241" s="22"/>
      <c r="G241" s="17"/>
      <c r="H241" s="17"/>
    </row>
    <row r="242" spans="2:8" x14ac:dyDescent="0.25">
      <c r="B242" s="15" t="s">
        <v>486</v>
      </c>
      <c r="C242" s="23">
        <v>74043.911924050757</v>
      </c>
      <c r="D242" s="23">
        <v>118619.53578999999</v>
      </c>
      <c r="E242" s="23">
        <v>408737.63508799998</v>
      </c>
      <c r="F242" s="23">
        <v>436556.65642199997</v>
      </c>
      <c r="G242" s="17"/>
      <c r="H242" s="17"/>
    </row>
    <row r="243" spans="2:8" ht="22.5" x14ac:dyDescent="0.25">
      <c r="B243" s="15" t="s">
        <v>487</v>
      </c>
      <c r="C243" s="22">
        <v>97750.26104908259</v>
      </c>
      <c r="D243" s="22">
        <v>155642.68466200001</v>
      </c>
      <c r="E243" s="22">
        <v>625148.94045300002</v>
      </c>
      <c r="F243" s="22">
        <v>598711.315068</v>
      </c>
      <c r="G243" s="17"/>
      <c r="H243" s="17"/>
    </row>
    <row r="244" spans="2:8" ht="22.5" x14ac:dyDescent="0.25">
      <c r="B244" s="15" t="s">
        <v>488</v>
      </c>
      <c r="C244" s="23">
        <v>1312007.5969372366</v>
      </c>
      <c r="D244" s="23">
        <v>2140100.0621949998</v>
      </c>
      <c r="E244" s="23">
        <v>4731846.0329649998</v>
      </c>
      <c r="F244" s="23">
        <v>5133067.3666359996</v>
      </c>
      <c r="G244" s="17"/>
      <c r="H244" s="17"/>
    </row>
    <row r="245" spans="2:8" ht="123.75" x14ac:dyDescent="0.25">
      <c r="B245" s="15" t="s">
        <v>489</v>
      </c>
      <c r="C245" s="22">
        <v>162719.07473281457</v>
      </c>
      <c r="D245" s="22">
        <v>215715.61216600001</v>
      </c>
      <c r="E245" s="22">
        <v>939754.92607499997</v>
      </c>
      <c r="F245" s="22">
        <v>891023.59251700004</v>
      </c>
      <c r="G245" s="17"/>
      <c r="H245" s="17"/>
    </row>
    <row r="246" spans="2:8" ht="123.75" x14ac:dyDescent="0.25">
      <c r="B246" s="24" t="s">
        <v>490</v>
      </c>
      <c r="C246" s="23">
        <v>461464.42108304176</v>
      </c>
      <c r="D246" s="23">
        <v>1238213.740036</v>
      </c>
      <c r="E246" s="23">
        <v>4317894.6192939999</v>
      </c>
      <c r="F246" s="23">
        <v>5551878.5094900001</v>
      </c>
      <c r="G246" s="17"/>
      <c r="H246" s="17"/>
    </row>
    <row r="247" spans="2:8" x14ac:dyDescent="0.25">
      <c r="B247" s="17"/>
      <c r="C247" s="17"/>
      <c r="D247" s="17"/>
      <c r="E247" s="17"/>
      <c r="F247" s="17"/>
      <c r="G247" s="17"/>
      <c r="H247" s="17"/>
    </row>
    <row r="248" spans="2:8" x14ac:dyDescent="0.25">
      <c r="B248" s="17"/>
      <c r="C248" s="17"/>
      <c r="D248" s="17"/>
      <c r="E248" s="17"/>
      <c r="F248" s="17"/>
      <c r="G248" s="17"/>
      <c r="H248" s="17"/>
    </row>
    <row r="249" spans="2:8" x14ac:dyDescent="0.25">
      <c r="B249" s="17"/>
      <c r="C249" s="17"/>
      <c r="D249" s="17"/>
      <c r="E249" s="17"/>
      <c r="F249" s="17"/>
      <c r="G249" s="17"/>
      <c r="H249" s="17"/>
    </row>
    <row r="250" spans="2:8" x14ac:dyDescent="0.25">
      <c r="B250" s="17"/>
      <c r="C250" s="17"/>
      <c r="D250" s="17"/>
      <c r="E250" s="17"/>
      <c r="F250" s="17"/>
      <c r="G250" s="17"/>
      <c r="H250" s="17"/>
    </row>
    <row r="251" spans="2:8" x14ac:dyDescent="0.25">
      <c r="B251" s="17"/>
      <c r="C251" s="17"/>
      <c r="D251" s="17"/>
      <c r="E251" s="17"/>
      <c r="F251" s="17"/>
      <c r="G251" s="17"/>
      <c r="H251" s="17"/>
    </row>
    <row r="252" spans="2:8" x14ac:dyDescent="0.25">
      <c r="B252" s="17"/>
      <c r="C252" s="17"/>
      <c r="D252" s="17"/>
      <c r="E252" s="17"/>
      <c r="F252" s="17"/>
      <c r="G252" s="17"/>
      <c r="H252" s="17"/>
    </row>
    <row r="253" spans="2:8" x14ac:dyDescent="0.25">
      <c r="B253" s="17"/>
      <c r="C253" s="17"/>
      <c r="D253" s="17"/>
      <c r="E253" s="17"/>
      <c r="F253" s="17"/>
      <c r="G253" s="17"/>
      <c r="H253" s="17"/>
    </row>
    <row r="254" spans="2:8" x14ac:dyDescent="0.25">
      <c r="B254" s="17"/>
      <c r="C254" s="17"/>
      <c r="D254" s="17"/>
      <c r="E254" s="17"/>
      <c r="F254" s="17"/>
      <c r="G254" s="17"/>
      <c r="H254" s="17"/>
    </row>
    <row r="255" spans="2:8" x14ac:dyDescent="0.25">
      <c r="B255" s="17"/>
      <c r="C255" s="17"/>
      <c r="D255" s="17"/>
      <c r="E255" s="17"/>
      <c r="F255" s="17"/>
      <c r="G255" s="17"/>
      <c r="H255" s="17"/>
    </row>
    <row r="256" spans="2:8" x14ac:dyDescent="0.25">
      <c r="B256" s="17"/>
      <c r="C256" s="17"/>
      <c r="D256" s="17"/>
      <c r="E256" s="17"/>
      <c r="F256" s="17"/>
      <c r="G256" s="17"/>
      <c r="H256" s="17"/>
    </row>
    <row r="257" spans="2:8" x14ac:dyDescent="0.25">
      <c r="B257" s="17"/>
      <c r="C257" s="17"/>
      <c r="D257" s="17"/>
      <c r="E257" s="17"/>
      <c r="F257" s="17"/>
      <c r="G257" s="17"/>
      <c r="H257" s="17"/>
    </row>
    <row r="258" spans="2:8" x14ac:dyDescent="0.25">
      <c r="B258" s="17"/>
      <c r="C258" s="17"/>
      <c r="D258" s="17"/>
      <c r="E258" s="17"/>
      <c r="F258" s="17"/>
      <c r="G258" s="17"/>
      <c r="H258" s="17"/>
    </row>
    <row r="259" spans="2:8" x14ac:dyDescent="0.25">
      <c r="B259" s="17"/>
      <c r="C259" s="17"/>
      <c r="D259" s="17"/>
      <c r="E259" s="17"/>
      <c r="F259" s="17"/>
      <c r="G259" s="17"/>
      <c r="H259" s="17"/>
    </row>
    <row r="260" spans="2:8" x14ac:dyDescent="0.25">
      <c r="B260" s="17"/>
      <c r="C260" s="17"/>
      <c r="D260" s="17"/>
      <c r="E260" s="17"/>
      <c r="F260" s="17"/>
      <c r="G260" s="17"/>
      <c r="H260" s="17"/>
    </row>
    <row r="261" spans="2:8" x14ac:dyDescent="0.25">
      <c r="B261" s="17"/>
      <c r="C261" s="17"/>
      <c r="D261" s="17"/>
      <c r="E261" s="17"/>
      <c r="F261" s="17"/>
      <c r="G261" s="17"/>
      <c r="H261" s="17"/>
    </row>
    <row r="262" spans="2:8" x14ac:dyDescent="0.25">
      <c r="B262" s="17"/>
      <c r="C262" s="17"/>
      <c r="D262" s="17"/>
      <c r="E262" s="17"/>
      <c r="F262" s="17"/>
      <c r="G262" s="17"/>
      <c r="H262" s="17"/>
    </row>
    <row r="263" spans="2:8" x14ac:dyDescent="0.25">
      <c r="B263" s="17"/>
      <c r="C263" s="17"/>
      <c r="D263" s="17"/>
      <c r="E263" s="17"/>
      <c r="F263" s="17"/>
      <c r="G263" s="17"/>
      <c r="H263" s="17"/>
    </row>
    <row r="264" spans="2:8" x14ac:dyDescent="0.25">
      <c r="B264" s="17"/>
      <c r="C264" s="17"/>
      <c r="D264" s="17"/>
      <c r="E264" s="17"/>
      <c r="F264" s="17"/>
      <c r="G264" s="17"/>
      <c r="H264" s="17"/>
    </row>
    <row r="265" spans="2:8" x14ac:dyDescent="0.25">
      <c r="B265" s="17"/>
      <c r="C265" s="17"/>
      <c r="D265" s="17"/>
      <c r="E265" s="17"/>
      <c r="F265" s="17"/>
      <c r="G265" s="17"/>
      <c r="H265" s="17"/>
    </row>
    <row r="266" spans="2:8" x14ac:dyDescent="0.25">
      <c r="B266" s="17"/>
      <c r="C266" s="17"/>
      <c r="D266" s="17"/>
      <c r="E266" s="17"/>
      <c r="F266" s="17"/>
      <c r="G266" s="17"/>
      <c r="H266" s="17"/>
    </row>
    <row r="267" spans="2:8" x14ac:dyDescent="0.25">
      <c r="B267" s="17"/>
      <c r="C267" s="17"/>
      <c r="D267" s="17"/>
      <c r="E267" s="17"/>
      <c r="F267" s="17"/>
      <c r="G267" s="17"/>
      <c r="H267" s="17"/>
    </row>
    <row r="268" spans="2:8" x14ac:dyDescent="0.25">
      <c r="B268" s="17"/>
      <c r="C268" s="17"/>
      <c r="D268" s="17"/>
      <c r="E268" s="17"/>
      <c r="F268" s="17"/>
      <c r="G268" s="17"/>
      <c r="H268" s="17"/>
    </row>
    <row r="269" spans="2:8" x14ac:dyDescent="0.25">
      <c r="B269" s="17"/>
      <c r="C269" s="17"/>
      <c r="D269" s="17"/>
      <c r="E269" s="17"/>
      <c r="F269" s="17"/>
      <c r="G269" s="17"/>
      <c r="H269" s="17"/>
    </row>
    <row r="270" spans="2:8" x14ac:dyDescent="0.25">
      <c r="B270" s="17"/>
      <c r="C270" s="17"/>
      <c r="D270" s="17"/>
      <c r="E270" s="17"/>
      <c r="F270" s="17"/>
      <c r="G270" s="17"/>
      <c r="H270" s="17"/>
    </row>
    <row r="271" spans="2:8" x14ac:dyDescent="0.25">
      <c r="B271" s="17"/>
      <c r="C271" s="17"/>
      <c r="D271" s="17"/>
      <c r="E271" s="17"/>
      <c r="F271" s="17"/>
      <c r="G271" s="17"/>
      <c r="H271" s="17"/>
    </row>
    <row r="272" spans="2:8" x14ac:dyDescent="0.25">
      <c r="B272" s="17"/>
      <c r="C272" s="17"/>
      <c r="D272" s="17"/>
      <c r="E272" s="17"/>
      <c r="F272" s="17"/>
      <c r="G272" s="17"/>
      <c r="H272" s="17"/>
    </row>
    <row r="273" spans="2:8" x14ac:dyDescent="0.25">
      <c r="B273" s="17"/>
      <c r="C273" s="17"/>
      <c r="D273" s="17"/>
      <c r="E273" s="17"/>
      <c r="F273" s="17"/>
      <c r="G273" s="17"/>
      <c r="H273" s="17"/>
    </row>
    <row r="274" spans="2:8" x14ac:dyDescent="0.25">
      <c r="B274" s="17"/>
      <c r="C274" s="17"/>
      <c r="D274" s="17"/>
      <c r="E274" s="17"/>
      <c r="F274" s="17"/>
      <c r="G274" s="17"/>
      <c r="H274" s="17"/>
    </row>
    <row r="275" spans="2:8" x14ac:dyDescent="0.25">
      <c r="B275" s="17"/>
      <c r="C275" s="17"/>
      <c r="D275" s="17"/>
      <c r="E275" s="17"/>
      <c r="F275" s="17"/>
      <c r="G275" s="17"/>
      <c r="H275" s="17"/>
    </row>
    <row r="276" spans="2:8" x14ac:dyDescent="0.25">
      <c r="B276" s="17"/>
      <c r="C276" s="17"/>
      <c r="D276" s="17"/>
      <c r="E276" s="17"/>
      <c r="F276" s="17"/>
      <c r="G276" s="17"/>
      <c r="H276" s="17"/>
    </row>
    <row r="277" spans="2:8" x14ac:dyDescent="0.25">
      <c r="B277" s="17"/>
      <c r="C277" s="17"/>
      <c r="D277" s="17"/>
      <c r="E277" s="17"/>
      <c r="F277" s="17"/>
      <c r="G277" s="17"/>
      <c r="H277" s="17"/>
    </row>
    <row r="278" spans="2:8" x14ac:dyDescent="0.25">
      <c r="B278" s="17"/>
      <c r="C278" s="17"/>
      <c r="D278" s="17"/>
      <c r="E278" s="17"/>
      <c r="F278" s="17"/>
      <c r="G278" s="17"/>
      <c r="H278" s="17"/>
    </row>
    <row r="279" spans="2:8" x14ac:dyDescent="0.25">
      <c r="B279" s="17"/>
      <c r="C279" s="17"/>
      <c r="D279" s="17"/>
      <c r="E279" s="17"/>
      <c r="F279" s="17"/>
      <c r="G279" s="17"/>
      <c r="H279" s="17"/>
    </row>
    <row r="280" spans="2:8" x14ac:dyDescent="0.25">
      <c r="B280" s="17"/>
      <c r="C280" s="17"/>
      <c r="D280" s="17"/>
      <c r="E280" s="17"/>
      <c r="F280" s="17"/>
      <c r="G280" s="17"/>
      <c r="H280" s="17"/>
    </row>
    <row r="281" spans="2:8" x14ac:dyDescent="0.25">
      <c r="B281" s="17"/>
      <c r="C281" s="17"/>
      <c r="D281" s="17"/>
      <c r="E281" s="17"/>
      <c r="F281" s="17"/>
      <c r="G281" s="17"/>
      <c r="H281" s="17"/>
    </row>
    <row r="282" spans="2:8" x14ac:dyDescent="0.25">
      <c r="B282" s="17"/>
      <c r="C282" s="17"/>
      <c r="D282" s="17"/>
      <c r="E282" s="17"/>
      <c r="F282" s="17"/>
      <c r="G282" s="17"/>
      <c r="H282" s="17"/>
    </row>
    <row r="283" spans="2:8" x14ac:dyDescent="0.25">
      <c r="B283" s="17"/>
      <c r="C283" s="17"/>
      <c r="D283" s="17"/>
      <c r="E283" s="17"/>
      <c r="F283" s="17"/>
      <c r="G283" s="17"/>
      <c r="H283" s="17"/>
    </row>
    <row r="284" spans="2:8" x14ac:dyDescent="0.25">
      <c r="B284" s="17"/>
      <c r="C284" s="17"/>
      <c r="D284" s="17"/>
      <c r="E284" s="17"/>
      <c r="F284" s="17"/>
      <c r="G284" s="17"/>
      <c r="H284" s="17"/>
    </row>
    <row r="285" spans="2:8" x14ac:dyDescent="0.25">
      <c r="B285" s="17"/>
      <c r="C285" s="17"/>
      <c r="D285" s="17"/>
      <c r="E285" s="17"/>
      <c r="F285" s="17"/>
      <c r="G285" s="17"/>
      <c r="H285" s="17"/>
    </row>
    <row r="286" spans="2:8" x14ac:dyDescent="0.25">
      <c r="B286" s="17"/>
      <c r="C286" s="17"/>
      <c r="D286" s="17"/>
      <c r="E286" s="17"/>
      <c r="F286" s="17"/>
      <c r="G286" s="17"/>
      <c r="H286" s="17"/>
    </row>
    <row r="287" spans="2:8" x14ac:dyDescent="0.25">
      <c r="B287" s="17"/>
      <c r="C287" s="17"/>
      <c r="D287" s="17"/>
      <c r="E287" s="17"/>
      <c r="F287" s="17"/>
      <c r="G287" s="17"/>
      <c r="H287" s="17"/>
    </row>
    <row r="288" spans="2:8" x14ac:dyDescent="0.25">
      <c r="B288" s="17"/>
      <c r="C288" s="17"/>
      <c r="D288" s="17"/>
      <c r="E288" s="17"/>
      <c r="F288" s="17"/>
      <c r="G288" s="17"/>
      <c r="H288" s="17"/>
    </row>
  </sheetData>
  <mergeCells count="2">
    <mergeCell ref="B2:G2"/>
    <mergeCell ref="C4:H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CA785-957F-4966-8E9A-E37C17ACC004}">
  <sheetPr codeName="Sheet3"/>
  <dimension ref="A1:L199"/>
  <sheetViews>
    <sheetView topLeftCell="A184" workbookViewId="0">
      <selection activeCell="F198" sqref="F198"/>
    </sheetView>
  </sheetViews>
  <sheetFormatPr defaultRowHeight="15" x14ac:dyDescent="0.25"/>
  <sheetData>
    <row r="1" spans="1:12" x14ac:dyDescent="0.25">
      <c r="A1" t="s">
        <v>0</v>
      </c>
      <c r="B1" t="s">
        <v>1</v>
      </c>
      <c r="C1" t="s">
        <v>2</v>
      </c>
      <c r="D1" t="s">
        <v>3</v>
      </c>
      <c r="E1" t="s">
        <v>4</v>
      </c>
      <c r="F1">
        <v>2021</v>
      </c>
      <c r="G1">
        <v>2022</v>
      </c>
      <c r="H1">
        <v>2023</v>
      </c>
      <c r="I1">
        <v>2024</v>
      </c>
      <c r="J1">
        <v>2025</v>
      </c>
      <c r="K1">
        <v>2026</v>
      </c>
      <c r="L1" t="s">
        <v>5</v>
      </c>
    </row>
    <row r="2" spans="1:12" x14ac:dyDescent="0.25">
      <c r="A2" t="s">
        <v>6</v>
      </c>
      <c r="B2" t="s">
        <v>7</v>
      </c>
      <c r="C2" t="s">
        <v>8</v>
      </c>
      <c r="E2" t="s">
        <v>9</v>
      </c>
      <c r="F2" t="s">
        <v>10</v>
      </c>
      <c r="G2" t="s">
        <v>10</v>
      </c>
      <c r="H2" t="s">
        <v>10</v>
      </c>
      <c r="I2" t="s">
        <v>10</v>
      </c>
      <c r="J2" t="s">
        <v>10</v>
      </c>
      <c r="K2" t="s">
        <v>10</v>
      </c>
      <c r="L2">
        <v>2019</v>
      </c>
    </row>
    <row r="3" spans="1:12" x14ac:dyDescent="0.25">
      <c r="A3" t="s">
        <v>11</v>
      </c>
      <c r="B3" t="s">
        <v>7</v>
      </c>
      <c r="C3" t="s">
        <v>8</v>
      </c>
      <c r="E3" t="s">
        <v>12</v>
      </c>
      <c r="F3">
        <v>17.295999999999999</v>
      </c>
      <c r="G3">
        <v>10.492000000000001</v>
      </c>
      <c r="H3">
        <v>7.3250000000000002</v>
      </c>
      <c r="I3">
        <v>5.3170000000000002</v>
      </c>
      <c r="J3">
        <v>3.88</v>
      </c>
      <c r="K3">
        <v>4.444</v>
      </c>
      <c r="L3">
        <v>2020</v>
      </c>
    </row>
    <row r="4" spans="1:12" x14ac:dyDescent="0.25">
      <c r="A4" t="s">
        <v>13</v>
      </c>
      <c r="B4" t="s">
        <v>7</v>
      </c>
      <c r="C4" t="s">
        <v>8</v>
      </c>
      <c r="E4" t="s">
        <v>14</v>
      </c>
      <c r="F4">
        <v>5.2039999999999997</v>
      </c>
      <c r="G4">
        <v>7.44</v>
      </c>
      <c r="H4">
        <v>2.4790000000000001</v>
      </c>
      <c r="I4">
        <v>-3.1539999999999999</v>
      </c>
      <c r="J4">
        <v>-3.5129999999999999</v>
      </c>
      <c r="K4">
        <v>-3.298</v>
      </c>
      <c r="L4">
        <v>2020</v>
      </c>
    </row>
    <row r="5" spans="1:12" x14ac:dyDescent="0.25">
      <c r="A5" t="s">
        <v>15</v>
      </c>
      <c r="B5" t="s">
        <v>7</v>
      </c>
      <c r="C5" t="s">
        <v>8</v>
      </c>
    </row>
    <row r="6" spans="1:12" x14ac:dyDescent="0.25">
      <c r="A6" t="s">
        <v>16</v>
      </c>
      <c r="B6" t="s">
        <v>7</v>
      </c>
      <c r="C6" t="s">
        <v>8</v>
      </c>
      <c r="E6" t="s">
        <v>17</v>
      </c>
      <c r="F6">
        <v>-1.2649999999999999</v>
      </c>
      <c r="G6">
        <v>0.32700000000000001</v>
      </c>
      <c r="H6">
        <v>8.7999999999999995E-2</v>
      </c>
      <c r="I6">
        <v>1.6379999999999999</v>
      </c>
      <c r="J6">
        <v>3.7610000000000001</v>
      </c>
      <c r="K6">
        <v>-0.56399999999999995</v>
      </c>
      <c r="L6">
        <v>2020</v>
      </c>
    </row>
    <row r="7" spans="1:12" x14ac:dyDescent="0.25">
      <c r="A7" t="s">
        <v>18</v>
      </c>
      <c r="B7" t="s">
        <v>7</v>
      </c>
      <c r="C7" t="s">
        <v>8</v>
      </c>
      <c r="E7" t="s">
        <v>19</v>
      </c>
      <c r="F7">
        <v>-21.965</v>
      </c>
      <c r="G7">
        <v>3.5230000000000001</v>
      </c>
      <c r="H7">
        <v>9.02</v>
      </c>
      <c r="I7">
        <v>5.1139999999999999</v>
      </c>
      <c r="J7">
        <v>0.65500000000000003</v>
      </c>
      <c r="K7">
        <v>2.234</v>
      </c>
      <c r="L7">
        <v>2019</v>
      </c>
    </row>
    <row r="8" spans="1:12" x14ac:dyDescent="0.25">
      <c r="A8" t="s">
        <v>20</v>
      </c>
      <c r="B8" t="s">
        <v>7</v>
      </c>
      <c r="C8" t="s">
        <v>8</v>
      </c>
      <c r="E8" t="s">
        <v>21</v>
      </c>
      <c r="F8">
        <v>6.8019999999999996</v>
      </c>
      <c r="G8">
        <v>6.9809999999999999</v>
      </c>
      <c r="H8">
        <v>5.6680000000000001</v>
      </c>
      <c r="I8">
        <v>4.6539999999999999</v>
      </c>
      <c r="J8">
        <v>3.6739999999999999</v>
      </c>
      <c r="K8">
        <v>3.5630000000000002</v>
      </c>
      <c r="L8">
        <v>2020</v>
      </c>
    </row>
    <row r="9" spans="1:12" x14ac:dyDescent="0.25">
      <c r="A9" t="s">
        <v>22</v>
      </c>
      <c r="B9" t="s">
        <v>7</v>
      </c>
      <c r="C9" t="s">
        <v>8</v>
      </c>
      <c r="E9" t="s">
        <v>23</v>
      </c>
      <c r="F9">
        <v>-8.3439999999999994</v>
      </c>
      <c r="G9">
        <v>5.2469999999999999</v>
      </c>
      <c r="H9">
        <v>6.22</v>
      </c>
      <c r="I9">
        <v>5.3730000000000002</v>
      </c>
      <c r="J9">
        <v>5.3109999999999999</v>
      </c>
      <c r="K9">
        <v>5.3049999999999997</v>
      </c>
      <c r="L9">
        <v>2020</v>
      </c>
    </row>
    <row r="10" spans="1:12" x14ac:dyDescent="0.25">
      <c r="A10" t="s">
        <v>24</v>
      </c>
      <c r="B10" t="s">
        <v>7</v>
      </c>
      <c r="C10" t="s">
        <v>8</v>
      </c>
    </row>
    <row r="11" spans="1:12" x14ac:dyDescent="0.25">
      <c r="A11" t="s">
        <v>25</v>
      </c>
      <c r="B11" t="s">
        <v>7</v>
      </c>
      <c r="C11" t="s">
        <v>8</v>
      </c>
      <c r="E11" t="s">
        <v>26</v>
      </c>
      <c r="F11">
        <v>2.2909999999999999</v>
      </c>
      <c r="G11">
        <v>3.1749999999999998</v>
      </c>
      <c r="H11">
        <v>2.2949999999999999</v>
      </c>
      <c r="I11">
        <v>2.2839999999999998</v>
      </c>
      <c r="J11">
        <v>1.9470000000000001</v>
      </c>
      <c r="K11">
        <v>1.9139999999999999</v>
      </c>
      <c r="L11">
        <v>2020</v>
      </c>
    </row>
    <row r="12" spans="1:12" x14ac:dyDescent="0.25">
      <c r="A12" t="s">
        <v>27</v>
      </c>
      <c r="B12" t="s">
        <v>7</v>
      </c>
      <c r="C12" t="s">
        <v>8</v>
      </c>
      <c r="E12" t="s">
        <v>28</v>
      </c>
      <c r="F12">
        <v>9.1069999999999993</v>
      </c>
      <c r="G12">
        <v>1.5149999999999999</v>
      </c>
      <c r="H12">
        <v>2.5129999999999999</v>
      </c>
      <c r="I12">
        <v>3.8620000000000001</v>
      </c>
      <c r="J12">
        <v>2.1120000000000001</v>
      </c>
      <c r="K12">
        <v>2.1120000000000001</v>
      </c>
      <c r="L12">
        <v>2019</v>
      </c>
    </row>
    <row r="13" spans="1:12" x14ac:dyDescent="0.25">
      <c r="A13" t="s">
        <v>29</v>
      </c>
      <c r="B13" t="s">
        <v>7</v>
      </c>
      <c r="C13" t="s">
        <v>8</v>
      </c>
      <c r="E13" t="s">
        <v>30</v>
      </c>
      <c r="F13">
        <v>3.786</v>
      </c>
      <c r="G13">
        <v>-0.495</v>
      </c>
      <c r="H13">
        <v>-2.65</v>
      </c>
      <c r="I13">
        <v>-3.206</v>
      </c>
      <c r="J13">
        <v>-0.32700000000000001</v>
      </c>
      <c r="K13">
        <v>1.2150000000000001</v>
      </c>
      <c r="L13">
        <v>2020</v>
      </c>
    </row>
    <row r="14" spans="1:12" x14ac:dyDescent="0.25">
      <c r="A14" t="s">
        <v>31</v>
      </c>
      <c r="B14" t="s">
        <v>7</v>
      </c>
      <c r="C14" t="s">
        <v>8</v>
      </c>
      <c r="E14" t="s">
        <v>32</v>
      </c>
      <c r="F14">
        <v>11.771000000000001</v>
      </c>
      <c r="G14">
        <v>12.007</v>
      </c>
      <c r="H14">
        <v>18.312000000000001</v>
      </c>
      <c r="I14">
        <v>10.074</v>
      </c>
      <c r="J14">
        <v>3.9260000000000002</v>
      </c>
      <c r="K14">
        <v>2.7610000000000001</v>
      </c>
      <c r="L14">
        <v>2020</v>
      </c>
    </row>
    <row r="15" spans="1:12" x14ac:dyDescent="0.25">
      <c r="A15" t="s">
        <v>33</v>
      </c>
      <c r="B15" t="s">
        <v>7</v>
      </c>
      <c r="C15" t="s">
        <v>8</v>
      </c>
      <c r="E15" t="s">
        <v>34</v>
      </c>
      <c r="F15">
        <v>-0.60499999999999998</v>
      </c>
      <c r="G15">
        <v>6.8920000000000003</v>
      </c>
      <c r="H15">
        <v>2.0859999999999999</v>
      </c>
      <c r="I15">
        <v>2.0009999999999999</v>
      </c>
      <c r="J15">
        <v>2.0739999999999998</v>
      </c>
      <c r="K15">
        <v>2.2040000000000002</v>
      </c>
      <c r="L15">
        <v>2020</v>
      </c>
    </row>
    <row r="16" spans="1:12" x14ac:dyDescent="0.25">
      <c r="A16" t="s">
        <v>35</v>
      </c>
      <c r="B16" t="s">
        <v>7</v>
      </c>
      <c r="C16" t="s">
        <v>8</v>
      </c>
      <c r="E16" t="s">
        <v>36</v>
      </c>
      <c r="F16">
        <v>10.243</v>
      </c>
      <c r="G16">
        <v>3.5979999999999999</v>
      </c>
      <c r="H16">
        <v>6.45</v>
      </c>
      <c r="I16">
        <v>5.3449999999999998</v>
      </c>
      <c r="J16">
        <v>5.3849999999999998</v>
      </c>
      <c r="K16">
        <v>5.7969999999999997</v>
      </c>
      <c r="L16">
        <v>2019</v>
      </c>
    </row>
    <row r="17" spans="1:12" x14ac:dyDescent="0.25">
      <c r="A17" t="s">
        <v>37</v>
      </c>
      <c r="B17" t="s">
        <v>7</v>
      </c>
      <c r="C17" t="s">
        <v>8</v>
      </c>
      <c r="E17" t="s">
        <v>38</v>
      </c>
      <c r="F17">
        <v>11.972</v>
      </c>
      <c r="G17">
        <v>8.5009999999999994</v>
      </c>
      <c r="H17">
        <v>5.6820000000000004</v>
      </c>
      <c r="I17">
        <v>4.125</v>
      </c>
      <c r="J17">
        <v>2.5779999999999998</v>
      </c>
      <c r="K17">
        <v>2.0920000000000001</v>
      </c>
      <c r="L17">
        <v>2019</v>
      </c>
    </row>
    <row r="18" spans="1:12" x14ac:dyDescent="0.25">
      <c r="A18" t="s">
        <v>39</v>
      </c>
      <c r="B18" t="s">
        <v>7</v>
      </c>
      <c r="C18" t="s">
        <v>8</v>
      </c>
      <c r="E18" t="s">
        <v>40</v>
      </c>
      <c r="F18">
        <v>8.2880000000000003</v>
      </c>
      <c r="G18">
        <v>-3.0000000000000001E-3</v>
      </c>
      <c r="H18">
        <v>1.6120000000000001</v>
      </c>
      <c r="I18">
        <v>1.77</v>
      </c>
      <c r="J18">
        <v>1.4970000000000001</v>
      </c>
      <c r="K18">
        <v>1.6020000000000001</v>
      </c>
      <c r="L18">
        <v>2020</v>
      </c>
    </row>
    <row r="19" spans="1:12" x14ac:dyDescent="0.25">
      <c r="A19" t="s">
        <v>41</v>
      </c>
      <c r="B19" t="s">
        <v>7</v>
      </c>
      <c r="C19" t="s">
        <v>8</v>
      </c>
      <c r="E19" t="s">
        <v>42</v>
      </c>
      <c r="F19">
        <v>7.4039999999999999</v>
      </c>
      <c r="G19">
        <v>5.5720000000000001</v>
      </c>
      <c r="H19">
        <v>4.1100000000000003</v>
      </c>
      <c r="I19">
        <v>3.64</v>
      </c>
      <c r="J19">
        <v>3.4820000000000002</v>
      </c>
      <c r="K19">
        <v>3.4369999999999998</v>
      </c>
      <c r="L19">
        <v>2020</v>
      </c>
    </row>
    <row r="20" spans="1:12" x14ac:dyDescent="0.25">
      <c r="A20" t="s">
        <v>43</v>
      </c>
      <c r="B20" t="s">
        <v>7</v>
      </c>
      <c r="C20" t="s">
        <v>8</v>
      </c>
      <c r="E20" t="s">
        <v>44</v>
      </c>
      <c r="F20">
        <v>23.69</v>
      </c>
      <c r="G20">
        <v>18.768999999999998</v>
      </c>
      <c r="H20">
        <v>12.834</v>
      </c>
      <c r="I20">
        <v>1.794</v>
      </c>
      <c r="J20">
        <v>2</v>
      </c>
      <c r="K20">
        <v>2</v>
      </c>
      <c r="L20">
        <v>2020</v>
      </c>
    </row>
    <row r="21" spans="1:12" x14ac:dyDescent="0.25">
      <c r="A21" t="s">
        <v>45</v>
      </c>
      <c r="B21" t="s">
        <v>7</v>
      </c>
      <c r="C21" t="s">
        <v>8</v>
      </c>
      <c r="E21" t="s">
        <v>46</v>
      </c>
      <c r="F21">
        <v>23.76</v>
      </c>
      <c r="G21">
        <v>12.917</v>
      </c>
      <c r="H21">
        <v>16.218</v>
      </c>
      <c r="I21">
        <v>12.065</v>
      </c>
      <c r="J21">
        <v>11.255000000000001</v>
      </c>
      <c r="K21">
        <v>10.420999999999999</v>
      </c>
      <c r="L21">
        <v>2019</v>
      </c>
    </row>
    <row r="22" spans="1:12" x14ac:dyDescent="0.25">
      <c r="A22" t="s">
        <v>47</v>
      </c>
      <c r="B22" t="s">
        <v>7</v>
      </c>
      <c r="C22" t="s">
        <v>8</v>
      </c>
      <c r="E22" t="s">
        <v>48</v>
      </c>
      <c r="F22">
        <v>-16.356000000000002</v>
      </c>
      <c r="G22">
        <v>22.155999999999999</v>
      </c>
      <c r="H22">
        <v>12.268000000000001</v>
      </c>
      <c r="I22">
        <v>10.319000000000001</v>
      </c>
      <c r="J22">
        <v>16.774999999999999</v>
      </c>
      <c r="K22">
        <v>3.1680000000000001</v>
      </c>
      <c r="L22">
        <v>2020</v>
      </c>
    </row>
    <row r="23" spans="1:12" x14ac:dyDescent="0.25">
      <c r="A23" t="s">
        <v>49</v>
      </c>
      <c r="B23" t="s">
        <v>7</v>
      </c>
      <c r="C23" t="s">
        <v>8</v>
      </c>
      <c r="E23" t="s">
        <v>50</v>
      </c>
      <c r="F23">
        <v>5.532</v>
      </c>
      <c r="G23">
        <v>2.2930000000000001</v>
      </c>
      <c r="H23">
        <v>3.1320000000000001</v>
      </c>
      <c r="I23">
        <v>1.181</v>
      </c>
      <c r="J23">
        <v>2.9940000000000002</v>
      </c>
      <c r="K23">
        <v>3.2549999999999999</v>
      </c>
      <c r="L23">
        <v>2020</v>
      </c>
    </row>
    <row r="24" spans="1:12" x14ac:dyDescent="0.25">
      <c r="A24" t="s">
        <v>51</v>
      </c>
      <c r="B24" t="s">
        <v>7</v>
      </c>
      <c r="C24" t="s">
        <v>8</v>
      </c>
      <c r="E24" t="s">
        <v>52</v>
      </c>
      <c r="F24">
        <v>4.976</v>
      </c>
      <c r="G24">
        <v>6.3860000000000001</v>
      </c>
      <c r="H24">
        <v>4.0510000000000002</v>
      </c>
      <c r="I24">
        <v>5.7569999999999997</v>
      </c>
      <c r="J24">
        <v>5.6589999999999998</v>
      </c>
      <c r="K24">
        <v>5.1859999999999999</v>
      </c>
      <c r="L24">
        <v>2020</v>
      </c>
    </row>
    <row r="25" spans="1:12" x14ac:dyDescent="0.25">
      <c r="A25" t="s">
        <v>53</v>
      </c>
      <c r="B25" t="s">
        <v>7</v>
      </c>
      <c r="C25" t="s">
        <v>8</v>
      </c>
      <c r="E25" t="s">
        <v>54</v>
      </c>
      <c r="F25">
        <v>41.283000000000001</v>
      </c>
      <c r="G25">
        <v>-4.173</v>
      </c>
      <c r="H25">
        <v>3.4569999999999999</v>
      </c>
      <c r="I25">
        <v>1.778</v>
      </c>
      <c r="J25">
        <v>4.3170000000000002</v>
      </c>
      <c r="K25">
        <v>0.42299999999999999</v>
      </c>
      <c r="L25">
        <v>2020</v>
      </c>
    </row>
    <row r="26" spans="1:12" x14ac:dyDescent="0.25">
      <c r="A26" t="s">
        <v>55</v>
      </c>
      <c r="B26" t="s">
        <v>7</v>
      </c>
      <c r="C26" t="s">
        <v>8</v>
      </c>
      <c r="E26" t="s">
        <v>56</v>
      </c>
      <c r="F26">
        <v>8.4450000000000003</v>
      </c>
      <c r="G26">
        <v>2.883</v>
      </c>
      <c r="H26">
        <v>3.6930000000000001</v>
      </c>
      <c r="I26">
        <v>3.226</v>
      </c>
      <c r="J26">
        <v>4.2089999999999996</v>
      </c>
      <c r="K26">
        <v>4.1719999999999997</v>
      </c>
      <c r="L26">
        <v>2020</v>
      </c>
    </row>
    <row r="27" spans="1:12" x14ac:dyDescent="0.25">
      <c r="A27" t="s">
        <v>57</v>
      </c>
      <c r="B27" t="s">
        <v>7</v>
      </c>
      <c r="C27" t="s">
        <v>8</v>
      </c>
      <c r="E27" t="s">
        <v>58</v>
      </c>
      <c r="F27">
        <v>23.495999999999999</v>
      </c>
      <c r="G27">
        <v>10.789</v>
      </c>
      <c r="H27">
        <v>1.8480000000000001</v>
      </c>
      <c r="I27">
        <v>2.1800000000000002</v>
      </c>
      <c r="J27">
        <v>3.8780000000000001</v>
      </c>
      <c r="K27">
        <v>1.5449999999999999</v>
      </c>
      <c r="L27">
        <v>2020</v>
      </c>
    </row>
    <row r="28" spans="1:12" x14ac:dyDescent="0.25">
      <c r="A28" t="s">
        <v>59</v>
      </c>
      <c r="B28" t="s">
        <v>7</v>
      </c>
      <c r="C28" t="s">
        <v>8</v>
      </c>
      <c r="E28" t="s">
        <v>60</v>
      </c>
      <c r="F28">
        <v>7.4749999999999996</v>
      </c>
      <c r="G28">
        <v>5.9939999999999998</v>
      </c>
      <c r="H28">
        <v>5.4409999999999998</v>
      </c>
      <c r="I28">
        <v>4.1890000000000001</v>
      </c>
      <c r="J28">
        <v>3.9569999999999999</v>
      </c>
      <c r="K28">
        <v>3.9020000000000001</v>
      </c>
      <c r="L28">
        <v>2020</v>
      </c>
    </row>
    <row r="29" spans="1:12" x14ac:dyDescent="0.25">
      <c r="A29" t="s">
        <v>61</v>
      </c>
      <c r="B29" t="s">
        <v>7</v>
      </c>
      <c r="C29" t="s">
        <v>8</v>
      </c>
      <c r="E29" t="s">
        <v>62</v>
      </c>
      <c r="F29">
        <v>3.298</v>
      </c>
      <c r="G29">
        <v>5.5149999999999997</v>
      </c>
      <c r="H29">
        <v>3.827</v>
      </c>
      <c r="I29">
        <v>2.8340000000000001</v>
      </c>
      <c r="J29">
        <v>2.8929999999999998</v>
      </c>
      <c r="K29">
        <v>4.8099999999999996</v>
      </c>
      <c r="L29">
        <v>2020</v>
      </c>
    </row>
    <row r="30" spans="1:12" x14ac:dyDescent="0.25">
      <c r="A30" t="s">
        <v>63</v>
      </c>
      <c r="B30" t="s">
        <v>7</v>
      </c>
      <c r="C30" t="s">
        <v>8</v>
      </c>
      <c r="E30" t="s">
        <v>64</v>
      </c>
      <c r="F30">
        <v>10.815</v>
      </c>
      <c r="G30">
        <v>6.8550000000000004</v>
      </c>
      <c r="H30">
        <v>6.6719999999999997</v>
      </c>
      <c r="I30">
        <v>7.2560000000000002</v>
      </c>
      <c r="J30">
        <v>8.125</v>
      </c>
      <c r="K30">
        <v>4.7190000000000003</v>
      </c>
      <c r="L30">
        <v>2020</v>
      </c>
    </row>
    <row r="31" spans="1:12" x14ac:dyDescent="0.25">
      <c r="A31" t="s">
        <v>65</v>
      </c>
      <c r="B31" t="s">
        <v>7</v>
      </c>
      <c r="C31" t="s">
        <v>8</v>
      </c>
      <c r="E31" t="s">
        <v>66</v>
      </c>
      <c r="F31">
        <v>15.359</v>
      </c>
      <c r="G31">
        <v>9.8680000000000003</v>
      </c>
      <c r="H31">
        <v>12.871</v>
      </c>
      <c r="I31">
        <v>10.904999999999999</v>
      </c>
      <c r="J31">
        <v>11.461</v>
      </c>
      <c r="K31">
        <v>14.221</v>
      </c>
      <c r="L31">
        <v>2019</v>
      </c>
    </row>
    <row r="32" spans="1:12" x14ac:dyDescent="0.25">
      <c r="A32" t="s">
        <v>67</v>
      </c>
      <c r="B32" t="s">
        <v>7</v>
      </c>
      <c r="C32" t="s">
        <v>8</v>
      </c>
      <c r="E32" t="s">
        <v>68</v>
      </c>
      <c r="F32">
        <v>-6.4880000000000004</v>
      </c>
      <c r="G32">
        <v>10.702</v>
      </c>
      <c r="H32">
        <v>8.8249999999999993</v>
      </c>
      <c r="I32">
        <v>7.8940000000000001</v>
      </c>
      <c r="J32">
        <v>8.6229999999999993</v>
      </c>
      <c r="K32">
        <v>6.7389999999999999</v>
      </c>
      <c r="L32">
        <v>2019</v>
      </c>
    </row>
    <row r="33" spans="1:12" x14ac:dyDescent="0.25">
      <c r="A33" t="s">
        <v>69</v>
      </c>
      <c r="B33" t="s">
        <v>7</v>
      </c>
      <c r="C33" t="s">
        <v>8</v>
      </c>
      <c r="E33" t="s">
        <v>70</v>
      </c>
      <c r="F33">
        <v>3.528</v>
      </c>
      <c r="G33">
        <v>11.797000000000001</v>
      </c>
      <c r="H33">
        <v>10.448</v>
      </c>
      <c r="I33">
        <v>9.3409999999999993</v>
      </c>
      <c r="J33">
        <v>9.5289999999999999</v>
      </c>
      <c r="K33">
        <v>8.141</v>
      </c>
      <c r="L33">
        <v>2020</v>
      </c>
    </row>
    <row r="34" spans="1:12" x14ac:dyDescent="0.25">
      <c r="A34" t="s">
        <v>71</v>
      </c>
      <c r="B34" t="s">
        <v>7</v>
      </c>
      <c r="C34" t="s">
        <v>8</v>
      </c>
      <c r="E34" t="s">
        <v>72</v>
      </c>
      <c r="F34">
        <v>5.78</v>
      </c>
      <c r="G34">
        <v>8.0259999999999998</v>
      </c>
      <c r="H34">
        <v>0.56999999999999995</v>
      </c>
      <c r="I34">
        <v>2.367</v>
      </c>
      <c r="J34">
        <v>1.538</v>
      </c>
      <c r="K34">
        <v>1.3540000000000001</v>
      </c>
      <c r="L34">
        <v>2020</v>
      </c>
    </row>
    <row r="35" spans="1:12" x14ac:dyDescent="0.25">
      <c r="A35" t="s">
        <v>73</v>
      </c>
      <c r="B35" t="s">
        <v>7</v>
      </c>
      <c r="C35" t="s">
        <v>8</v>
      </c>
      <c r="E35" t="s">
        <v>74</v>
      </c>
      <c r="F35">
        <v>-5.4470000000000001</v>
      </c>
      <c r="G35">
        <v>24.105</v>
      </c>
      <c r="H35">
        <v>12.565</v>
      </c>
      <c r="I35">
        <v>10.029</v>
      </c>
      <c r="J35">
        <v>8.859</v>
      </c>
      <c r="K35">
        <v>8.9879999999999995</v>
      </c>
      <c r="L35">
        <v>2017</v>
      </c>
    </row>
    <row r="36" spans="1:12" x14ac:dyDescent="0.25">
      <c r="A36" t="s">
        <v>75</v>
      </c>
      <c r="B36" t="s">
        <v>7</v>
      </c>
      <c r="C36" t="s">
        <v>8</v>
      </c>
      <c r="E36" t="s">
        <v>76</v>
      </c>
      <c r="F36">
        <v>7.5960000000000001</v>
      </c>
      <c r="G36">
        <v>1.389</v>
      </c>
      <c r="H36">
        <v>0.129</v>
      </c>
      <c r="I36">
        <v>7.0049999999999999</v>
      </c>
      <c r="J36">
        <v>6.9649999999999999</v>
      </c>
      <c r="K36">
        <v>3.0459999999999998</v>
      </c>
      <c r="L36">
        <v>2015</v>
      </c>
    </row>
    <row r="37" spans="1:12" x14ac:dyDescent="0.25">
      <c r="A37" t="s">
        <v>77</v>
      </c>
      <c r="B37" t="s">
        <v>7</v>
      </c>
      <c r="C37" t="s">
        <v>8</v>
      </c>
      <c r="E37" t="s">
        <v>78</v>
      </c>
      <c r="F37">
        <v>8.1000000000000003E-2</v>
      </c>
      <c r="G37">
        <v>4.9960000000000004</v>
      </c>
      <c r="H37">
        <v>3.4820000000000002</v>
      </c>
      <c r="I37">
        <v>2.8039999999999998</v>
      </c>
      <c r="J37">
        <v>2.6920000000000002</v>
      </c>
      <c r="K37">
        <v>2.694</v>
      </c>
      <c r="L37">
        <v>2020</v>
      </c>
    </row>
    <row r="38" spans="1:12" x14ac:dyDescent="0.25">
      <c r="A38" t="s">
        <v>79</v>
      </c>
      <c r="B38" t="s">
        <v>7</v>
      </c>
      <c r="C38" t="s">
        <v>8</v>
      </c>
      <c r="E38" t="s">
        <v>80</v>
      </c>
      <c r="F38">
        <v>19.809000000000001</v>
      </c>
      <c r="G38">
        <v>4.6509999999999998</v>
      </c>
      <c r="H38">
        <v>5.0590000000000002</v>
      </c>
      <c r="I38">
        <v>3.7090000000000001</v>
      </c>
      <c r="J38">
        <v>3.7080000000000002</v>
      </c>
      <c r="K38">
        <v>3.7069999999999999</v>
      </c>
      <c r="L38">
        <v>2020</v>
      </c>
    </row>
    <row r="39" spans="1:12" x14ac:dyDescent="0.25">
      <c r="A39" t="s">
        <v>81</v>
      </c>
      <c r="B39" t="s">
        <v>7</v>
      </c>
      <c r="C39" t="s">
        <v>8</v>
      </c>
      <c r="E39" t="s">
        <v>82</v>
      </c>
      <c r="F39">
        <v>0.49399999999999999</v>
      </c>
      <c r="G39">
        <v>12.317</v>
      </c>
      <c r="H39">
        <v>4.8390000000000004</v>
      </c>
      <c r="I39">
        <v>2.625</v>
      </c>
      <c r="J39">
        <v>3.2869999999999999</v>
      </c>
      <c r="K39">
        <v>3.3879999999999999</v>
      </c>
      <c r="L39">
        <v>2020</v>
      </c>
    </row>
    <row r="40" spans="1:12" x14ac:dyDescent="0.25">
      <c r="A40" t="s">
        <v>83</v>
      </c>
      <c r="B40" t="s">
        <v>7</v>
      </c>
      <c r="C40" t="s">
        <v>8</v>
      </c>
      <c r="E40" t="s">
        <v>84</v>
      </c>
      <c r="F40">
        <v>27.199000000000002</v>
      </c>
      <c r="G40">
        <v>38.966999999999999</v>
      </c>
      <c r="H40">
        <v>4.71</v>
      </c>
      <c r="I40">
        <v>4.524</v>
      </c>
      <c r="J40">
        <v>4.9329999999999998</v>
      </c>
      <c r="K40">
        <v>5.5019999999999998</v>
      </c>
      <c r="L40">
        <v>2020</v>
      </c>
    </row>
    <row r="41" spans="1:12" x14ac:dyDescent="0.25">
      <c r="A41" t="s">
        <v>85</v>
      </c>
      <c r="B41" t="s">
        <v>7</v>
      </c>
      <c r="C41" t="s">
        <v>8</v>
      </c>
      <c r="E41" t="s">
        <v>86</v>
      </c>
      <c r="F41">
        <v>12.164999999999999</v>
      </c>
      <c r="G41">
        <v>8.6170000000000009</v>
      </c>
      <c r="H41">
        <v>8.5990000000000002</v>
      </c>
      <c r="I41">
        <v>6.8650000000000002</v>
      </c>
      <c r="J41">
        <v>7.2030000000000003</v>
      </c>
      <c r="K41">
        <v>3.4279999999999999</v>
      </c>
      <c r="L41">
        <v>2020</v>
      </c>
    </row>
    <row r="42" spans="1:12" x14ac:dyDescent="0.25">
      <c r="A42" t="s">
        <v>87</v>
      </c>
      <c r="B42" t="s">
        <v>7</v>
      </c>
      <c r="C42" t="s">
        <v>8</v>
      </c>
      <c r="E42" t="s">
        <v>88</v>
      </c>
      <c r="F42">
        <v>3.0169999999999999</v>
      </c>
      <c r="G42">
        <v>0.21099999999999999</v>
      </c>
      <c r="H42">
        <v>1.1599999999999999</v>
      </c>
      <c r="I42">
        <v>6.6950000000000003</v>
      </c>
      <c r="J42">
        <v>-0.17100000000000001</v>
      </c>
      <c r="K42">
        <v>-1.0740000000000001</v>
      </c>
      <c r="L42">
        <v>2018</v>
      </c>
    </row>
    <row r="43" spans="1:12" x14ac:dyDescent="0.25">
      <c r="A43" t="s">
        <v>89</v>
      </c>
      <c r="B43" t="s">
        <v>7</v>
      </c>
      <c r="C43" t="s">
        <v>8</v>
      </c>
      <c r="E43" t="s">
        <v>90</v>
      </c>
      <c r="F43">
        <v>27.852</v>
      </c>
      <c r="G43">
        <v>4.8529999999999998</v>
      </c>
      <c r="H43">
        <v>4.8689999999999998</v>
      </c>
      <c r="I43">
        <v>4.665</v>
      </c>
      <c r="J43">
        <v>5.4139999999999997</v>
      </c>
      <c r="K43">
        <v>5.1589999999999998</v>
      </c>
      <c r="L43">
        <v>2020</v>
      </c>
    </row>
    <row r="44" spans="1:12" x14ac:dyDescent="0.25">
      <c r="A44" t="s">
        <v>91</v>
      </c>
      <c r="B44" t="s">
        <v>7</v>
      </c>
      <c r="C44" t="s">
        <v>8</v>
      </c>
      <c r="E44" t="s">
        <v>92</v>
      </c>
      <c r="F44">
        <v>2.04</v>
      </c>
      <c r="G44">
        <v>5.5510000000000002</v>
      </c>
      <c r="H44">
        <v>9.2330000000000005</v>
      </c>
      <c r="I44">
        <v>9.1739999999999995</v>
      </c>
      <c r="J44">
        <v>6.8929999999999998</v>
      </c>
      <c r="K44">
        <v>6.74</v>
      </c>
      <c r="L44">
        <v>2019</v>
      </c>
    </row>
    <row r="45" spans="1:12" x14ac:dyDescent="0.25">
      <c r="A45" t="s">
        <v>93</v>
      </c>
      <c r="B45" t="s">
        <v>7</v>
      </c>
      <c r="C45" t="s">
        <v>8</v>
      </c>
      <c r="E45" t="s">
        <v>94</v>
      </c>
      <c r="F45">
        <v>3.6</v>
      </c>
      <c r="G45">
        <v>4</v>
      </c>
      <c r="H45">
        <v>4</v>
      </c>
      <c r="I45">
        <v>8</v>
      </c>
      <c r="J45">
        <v>8.1</v>
      </c>
      <c r="K45">
        <v>5.0999999999999996</v>
      </c>
      <c r="L45">
        <v>2020</v>
      </c>
    </row>
    <row r="46" spans="1:12" x14ac:dyDescent="0.25">
      <c r="A46" t="s">
        <v>95</v>
      </c>
      <c r="B46" t="s">
        <v>7</v>
      </c>
      <c r="C46" t="s">
        <v>8</v>
      </c>
      <c r="E46" t="s">
        <v>96</v>
      </c>
      <c r="F46">
        <v>-2.1680000000000001</v>
      </c>
      <c r="G46">
        <v>5.7080000000000002</v>
      </c>
      <c r="H46">
        <v>5.9</v>
      </c>
      <c r="I46">
        <v>5.5</v>
      </c>
      <c r="J46">
        <v>5.5</v>
      </c>
      <c r="K46">
        <v>5.5</v>
      </c>
      <c r="L46">
        <v>2020</v>
      </c>
    </row>
    <row r="47" spans="1:12" x14ac:dyDescent="0.25">
      <c r="A47" t="s">
        <v>97</v>
      </c>
      <c r="B47" t="s">
        <v>7</v>
      </c>
      <c r="C47" t="s">
        <v>8</v>
      </c>
      <c r="E47" t="s">
        <v>98</v>
      </c>
      <c r="F47">
        <v>10.682</v>
      </c>
      <c r="G47">
        <v>4.1660000000000004</v>
      </c>
      <c r="H47">
        <v>2.8</v>
      </c>
      <c r="I47">
        <v>2.6</v>
      </c>
      <c r="J47">
        <v>2.6</v>
      </c>
      <c r="K47">
        <v>2.5</v>
      </c>
      <c r="L47">
        <v>2019</v>
      </c>
    </row>
    <row r="48" spans="1:12" x14ac:dyDescent="0.25">
      <c r="A48" t="s">
        <v>99</v>
      </c>
      <c r="B48" t="s">
        <v>7</v>
      </c>
      <c r="C48" t="s">
        <v>8</v>
      </c>
      <c r="E48" t="s">
        <v>100</v>
      </c>
      <c r="F48">
        <v>7.5</v>
      </c>
      <c r="G48">
        <v>5</v>
      </c>
      <c r="H48">
        <v>2.5</v>
      </c>
      <c r="I48">
        <v>2.6</v>
      </c>
      <c r="J48">
        <v>2.5</v>
      </c>
      <c r="K48">
        <v>2.5</v>
      </c>
      <c r="L48">
        <v>2020</v>
      </c>
    </row>
    <row r="49" spans="1:12" x14ac:dyDescent="0.25">
      <c r="A49" t="s">
        <v>101</v>
      </c>
      <c r="B49" t="s">
        <v>7</v>
      </c>
      <c r="C49" t="s">
        <v>8</v>
      </c>
      <c r="E49" t="s">
        <v>102</v>
      </c>
      <c r="F49">
        <v>8.7439999999999998</v>
      </c>
      <c r="G49">
        <v>6.69</v>
      </c>
      <c r="H49">
        <v>5.5759999999999996</v>
      </c>
      <c r="I49">
        <v>5.3209999999999997</v>
      </c>
      <c r="J49">
        <v>5.3220000000000001</v>
      </c>
      <c r="K49">
        <v>5.7839999999999998</v>
      </c>
      <c r="L49">
        <v>2020</v>
      </c>
    </row>
    <row r="50" spans="1:12" x14ac:dyDescent="0.25">
      <c r="A50" t="s">
        <v>103</v>
      </c>
      <c r="B50" t="s">
        <v>7</v>
      </c>
      <c r="C50" t="s">
        <v>8</v>
      </c>
      <c r="E50" t="s">
        <v>104</v>
      </c>
      <c r="F50">
        <v>14.920999999999999</v>
      </c>
      <c r="G50">
        <v>9.3819999999999997</v>
      </c>
      <c r="H50">
        <v>7.4749999999999996</v>
      </c>
      <c r="I50">
        <v>6.69</v>
      </c>
      <c r="J50">
        <v>6.173</v>
      </c>
      <c r="K50">
        <v>4.34</v>
      </c>
      <c r="L50">
        <v>2018</v>
      </c>
    </row>
    <row r="51" spans="1:12" x14ac:dyDescent="0.25">
      <c r="A51" t="s">
        <v>105</v>
      </c>
      <c r="B51" t="s">
        <v>7</v>
      </c>
      <c r="C51" t="s">
        <v>8</v>
      </c>
      <c r="E51" t="s">
        <v>106</v>
      </c>
      <c r="F51">
        <v>1.883</v>
      </c>
      <c r="G51">
        <v>10.042999999999999</v>
      </c>
      <c r="H51">
        <v>8.5939999999999994</v>
      </c>
      <c r="I51">
        <v>9.0459999999999994</v>
      </c>
      <c r="J51">
        <v>8.2989999999999995</v>
      </c>
      <c r="K51">
        <v>9.2780000000000005</v>
      </c>
      <c r="L51">
        <v>2020</v>
      </c>
    </row>
    <row r="52" spans="1:12" x14ac:dyDescent="0.25">
      <c r="A52" t="s">
        <v>107</v>
      </c>
      <c r="B52" t="s">
        <v>7</v>
      </c>
      <c r="C52" t="s">
        <v>8</v>
      </c>
      <c r="E52" t="s">
        <v>108</v>
      </c>
      <c r="F52">
        <v>-1.617</v>
      </c>
      <c r="G52">
        <v>5.3419999999999996</v>
      </c>
      <c r="H52">
        <v>3.9969999999999999</v>
      </c>
      <c r="I52">
        <v>2.6040000000000001</v>
      </c>
      <c r="J52">
        <v>2.976</v>
      </c>
      <c r="K52">
        <v>2.867</v>
      </c>
      <c r="L52">
        <v>2020</v>
      </c>
    </row>
    <row r="53" spans="1:12" x14ac:dyDescent="0.25">
      <c r="A53" t="s">
        <v>109</v>
      </c>
      <c r="B53" t="s">
        <v>7</v>
      </c>
      <c r="C53" t="s">
        <v>8</v>
      </c>
      <c r="E53" t="s">
        <v>110</v>
      </c>
      <c r="F53">
        <v>4.9340000000000002</v>
      </c>
      <c r="G53">
        <v>1.329</v>
      </c>
      <c r="H53">
        <v>5.0999999999999996</v>
      </c>
      <c r="I53">
        <v>1.42</v>
      </c>
      <c r="J53">
        <v>0.217</v>
      </c>
      <c r="K53">
        <v>2.6850000000000001</v>
      </c>
      <c r="L53">
        <v>2020</v>
      </c>
    </row>
    <row r="54" spans="1:12" x14ac:dyDescent="0.25">
      <c r="A54" t="s">
        <v>111</v>
      </c>
      <c r="B54" t="s">
        <v>7</v>
      </c>
      <c r="C54" t="s">
        <v>8</v>
      </c>
      <c r="E54" t="s">
        <v>112</v>
      </c>
      <c r="F54">
        <v>15.159000000000001</v>
      </c>
      <c r="G54">
        <v>10.145</v>
      </c>
      <c r="H54">
        <v>5.3719999999999999</v>
      </c>
      <c r="I54">
        <v>4.492</v>
      </c>
      <c r="J54">
        <v>4.49</v>
      </c>
      <c r="K54">
        <v>3.968</v>
      </c>
      <c r="L54">
        <v>2020</v>
      </c>
    </row>
    <row r="55" spans="1:12" x14ac:dyDescent="0.25">
      <c r="A55" t="s">
        <v>113</v>
      </c>
      <c r="B55" t="s">
        <v>7</v>
      </c>
      <c r="C55" t="s">
        <v>8</v>
      </c>
      <c r="E55" t="s">
        <v>114</v>
      </c>
      <c r="F55">
        <v>-32.597999999999999</v>
      </c>
      <c r="G55">
        <v>-12.377000000000001</v>
      </c>
      <c r="H55">
        <v>-5.9119999999999999</v>
      </c>
      <c r="I55">
        <v>-6.0640000000000001</v>
      </c>
      <c r="J55">
        <v>18.146999999999998</v>
      </c>
      <c r="K55">
        <v>-22.495000000000001</v>
      </c>
      <c r="L55">
        <v>2017</v>
      </c>
    </row>
    <row r="56" spans="1:12" x14ac:dyDescent="0.25">
      <c r="A56" t="s">
        <v>115</v>
      </c>
      <c r="B56" t="s">
        <v>7</v>
      </c>
      <c r="C56" t="s">
        <v>8</v>
      </c>
      <c r="E56" t="s">
        <v>116</v>
      </c>
      <c r="F56">
        <v>9.67</v>
      </c>
      <c r="G56">
        <v>7.0069999999999997</v>
      </c>
      <c r="H56">
        <v>4.1970000000000001</v>
      </c>
      <c r="I56">
        <v>3.7719999999999998</v>
      </c>
      <c r="J56">
        <v>3.552</v>
      </c>
      <c r="K56">
        <v>3.5070000000000001</v>
      </c>
      <c r="L56">
        <v>2018</v>
      </c>
    </row>
    <row r="57" spans="1:12" x14ac:dyDescent="0.25">
      <c r="A57" t="s">
        <v>117</v>
      </c>
      <c r="B57" t="s">
        <v>7</v>
      </c>
      <c r="C57" t="s">
        <v>8</v>
      </c>
      <c r="E57" t="s">
        <v>118</v>
      </c>
      <c r="F57">
        <v>13</v>
      </c>
      <c r="G57">
        <v>7</v>
      </c>
      <c r="H57">
        <v>4.5</v>
      </c>
      <c r="I57">
        <v>3.4</v>
      </c>
      <c r="J57">
        <v>3.4</v>
      </c>
      <c r="K57">
        <v>3</v>
      </c>
      <c r="L57">
        <v>2020</v>
      </c>
    </row>
    <row r="58" spans="1:12" x14ac:dyDescent="0.25">
      <c r="A58" t="s">
        <v>119</v>
      </c>
      <c r="B58" t="s">
        <v>7</v>
      </c>
      <c r="C58" t="s">
        <v>8</v>
      </c>
      <c r="E58" t="s">
        <v>120</v>
      </c>
      <c r="F58">
        <v>6.3680000000000003</v>
      </c>
      <c r="G58">
        <v>0.70899999999999996</v>
      </c>
      <c r="H58">
        <v>0.128</v>
      </c>
      <c r="I58">
        <v>0.56999999999999995</v>
      </c>
      <c r="J58">
        <v>1.036</v>
      </c>
      <c r="K58">
        <v>0.18099999999999999</v>
      </c>
      <c r="L58">
        <v>2020</v>
      </c>
    </row>
    <row r="59" spans="1:12" x14ac:dyDescent="0.25">
      <c r="A59" t="s">
        <v>121</v>
      </c>
      <c r="B59" t="s">
        <v>7</v>
      </c>
      <c r="C59" t="s">
        <v>8</v>
      </c>
      <c r="E59" t="s">
        <v>122</v>
      </c>
      <c r="F59">
        <v>12.52</v>
      </c>
      <c r="G59" t="s">
        <v>10</v>
      </c>
      <c r="H59" t="s">
        <v>10</v>
      </c>
      <c r="I59" t="s">
        <v>10</v>
      </c>
      <c r="J59" t="s">
        <v>10</v>
      </c>
      <c r="K59" t="s">
        <v>10</v>
      </c>
      <c r="L59">
        <v>2020</v>
      </c>
    </row>
    <row r="60" spans="1:12" x14ac:dyDescent="0.25">
      <c r="A60" t="s">
        <v>123</v>
      </c>
      <c r="B60" t="s">
        <v>7</v>
      </c>
      <c r="C60" t="s">
        <v>8</v>
      </c>
    </row>
    <row r="61" spans="1:12" x14ac:dyDescent="0.25">
      <c r="A61" t="s">
        <v>124</v>
      </c>
      <c r="B61" t="s">
        <v>7</v>
      </c>
      <c r="C61" t="s">
        <v>8</v>
      </c>
      <c r="E61" t="s">
        <v>125</v>
      </c>
      <c r="F61">
        <v>3.5</v>
      </c>
      <c r="G61">
        <v>6</v>
      </c>
      <c r="H61">
        <v>2.0499999999999998</v>
      </c>
      <c r="I61">
        <v>2.04</v>
      </c>
      <c r="J61">
        <v>2.04</v>
      </c>
      <c r="K61">
        <v>2.04</v>
      </c>
      <c r="L61">
        <v>2020</v>
      </c>
    </row>
    <row r="62" spans="1:12" x14ac:dyDescent="0.25">
      <c r="A62" t="s">
        <v>126</v>
      </c>
      <c r="B62" t="s">
        <v>7</v>
      </c>
      <c r="C62" t="s">
        <v>8</v>
      </c>
      <c r="E62" t="s">
        <v>127</v>
      </c>
      <c r="F62">
        <v>9.0960000000000001</v>
      </c>
      <c r="G62">
        <v>7.0709999999999997</v>
      </c>
      <c r="H62">
        <v>4.5430000000000001</v>
      </c>
      <c r="I62">
        <v>3.7570000000000001</v>
      </c>
      <c r="J62">
        <v>3.726</v>
      </c>
      <c r="K62">
        <v>3.4550000000000001</v>
      </c>
      <c r="L62">
        <v>2020</v>
      </c>
    </row>
    <row r="63" spans="1:12" x14ac:dyDescent="0.25">
      <c r="A63" t="s">
        <v>128</v>
      </c>
      <c r="B63" t="s">
        <v>7</v>
      </c>
      <c r="C63" t="s">
        <v>8</v>
      </c>
      <c r="E63" t="s">
        <v>129</v>
      </c>
      <c r="F63">
        <v>-10.641</v>
      </c>
      <c r="G63">
        <v>11.2</v>
      </c>
      <c r="H63">
        <v>4.3550000000000004</v>
      </c>
      <c r="I63">
        <v>3.3079999999999998</v>
      </c>
      <c r="J63">
        <v>3.3929999999999998</v>
      </c>
      <c r="K63">
        <v>2.5840000000000001</v>
      </c>
      <c r="L63">
        <v>2019</v>
      </c>
    </row>
    <row r="64" spans="1:12" x14ac:dyDescent="0.25">
      <c r="A64" t="s">
        <v>130</v>
      </c>
      <c r="B64" t="s">
        <v>7</v>
      </c>
      <c r="C64" t="s">
        <v>8</v>
      </c>
      <c r="E64" t="s">
        <v>131</v>
      </c>
      <c r="F64">
        <v>59.837000000000003</v>
      </c>
      <c r="G64">
        <v>36.902000000000001</v>
      </c>
      <c r="H64">
        <v>28.009</v>
      </c>
      <c r="I64">
        <v>8.0519999999999996</v>
      </c>
      <c r="J64">
        <v>6.2389999999999999</v>
      </c>
      <c r="K64">
        <v>6.0620000000000003</v>
      </c>
      <c r="L64">
        <v>2019</v>
      </c>
    </row>
    <row r="65" spans="1:12" x14ac:dyDescent="0.25">
      <c r="A65" t="s">
        <v>132</v>
      </c>
      <c r="B65" t="s">
        <v>7</v>
      </c>
      <c r="C65" t="s">
        <v>8</v>
      </c>
      <c r="E65" t="s">
        <v>133</v>
      </c>
      <c r="F65">
        <v>11.590999999999999</v>
      </c>
      <c r="G65">
        <v>5.5410000000000004</v>
      </c>
      <c r="H65">
        <v>9.4269999999999996</v>
      </c>
      <c r="I65">
        <v>8.9570000000000007</v>
      </c>
      <c r="J65">
        <v>4.9800000000000004</v>
      </c>
      <c r="K65">
        <v>3.7589999999999999</v>
      </c>
      <c r="L65">
        <v>2020</v>
      </c>
    </row>
    <row r="66" spans="1:12" x14ac:dyDescent="0.25">
      <c r="A66" t="s">
        <v>134</v>
      </c>
      <c r="B66" t="s">
        <v>7</v>
      </c>
      <c r="C66" t="s">
        <v>8</v>
      </c>
      <c r="E66" t="s">
        <v>135</v>
      </c>
      <c r="F66">
        <v>11.516</v>
      </c>
      <c r="G66">
        <v>5.8929999999999998</v>
      </c>
      <c r="H66">
        <v>4.3049999999999997</v>
      </c>
      <c r="I66">
        <v>3.55</v>
      </c>
      <c r="J66">
        <v>2.9830000000000001</v>
      </c>
      <c r="K66">
        <v>2.883</v>
      </c>
      <c r="L66">
        <v>2020</v>
      </c>
    </row>
    <row r="67" spans="1:12" x14ac:dyDescent="0.25">
      <c r="A67" t="s">
        <v>136</v>
      </c>
      <c r="B67" t="s">
        <v>7</v>
      </c>
      <c r="C67" t="s">
        <v>8</v>
      </c>
      <c r="E67" t="s">
        <v>137</v>
      </c>
      <c r="F67">
        <v>-4.7560000000000002</v>
      </c>
      <c r="G67">
        <v>4.194</v>
      </c>
      <c r="H67">
        <v>1.68</v>
      </c>
      <c r="I67">
        <v>2.665</v>
      </c>
      <c r="J67">
        <v>9.3119999999999994</v>
      </c>
      <c r="K67">
        <v>5.681</v>
      </c>
      <c r="L67">
        <v>2019</v>
      </c>
    </row>
    <row r="68" spans="1:12" x14ac:dyDescent="0.25">
      <c r="A68" t="s">
        <v>138</v>
      </c>
      <c r="B68" t="s">
        <v>7</v>
      </c>
      <c r="C68" t="s">
        <v>8</v>
      </c>
      <c r="E68" t="s">
        <v>139</v>
      </c>
      <c r="F68">
        <v>4.3840000000000003</v>
      </c>
      <c r="G68">
        <v>5.1440000000000001</v>
      </c>
      <c r="H68">
        <v>4.3479999999999999</v>
      </c>
      <c r="I68">
        <v>3.6440000000000001</v>
      </c>
      <c r="J68">
        <v>3.3889999999999998</v>
      </c>
      <c r="K68">
        <v>3.3759999999999999</v>
      </c>
      <c r="L68">
        <v>2020</v>
      </c>
    </row>
    <row r="69" spans="1:12" x14ac:dyDescent="0.25">
      <c r="A69" t="s">
        <v>140</v>
      </c>
      <c r="B69" t="s">
        <v>7</v>
      </c>
      <c r="C69" t="s">
        <v>8</v>
      </c>
      <c r="E69" t="s">
        <v>141</v>
      </c>
      <c r="F69">
        <v>11.666</v>
      </c>
      <c r="G69">
        <v>5.556</v>
      </c>
      <c r="H69">
        <v>-0.91900000000000004</v>
      </c>
      <c r="I69">
        <v>0.60899999999999999</v>
      </c>
      <c r="J69">
        <v>0.84499999999999997</v>
      </c>
      <c r="K69">
        <v>0.746</v>
      </c>
      <c r="L69">
        <v>2019</v>
      </c>
    </row>
    <row r="70" spans="1:12" x14ac:dyDescent="0.25">
      <c r="A70" t="s">
        <v>142</v>
      </c>
      <c r="B70" t="s">
        <v>7</v>
      </c>
      <c r="C70" t="s">
        <v>8</v>
      </c>
      <c r="E70" t="s">
        <v>143</v>
      </c>
      <c r="F70">
        <v>6</v>
      </c>
      <c r="G70">
        <v>4.5999999999999996</v>
      </c>
      <c r="H70">
        <v>2.8</v>
      </c>
      <c r="I70">
        <v>2.1</v>
      </c>
      <c r="J70">
        <v>2.1</v>
      </c>
      <c r="K70">
        <v>2.1</v>
      </c>
      <c r="L70">
        <v>2020</v>
      </c>
    </row>
    <row r="71" spans="1:12" x14ac:dyDescent="0.25">
      <c r="A71" t="s">
        <v>144</v>
      </c>
      <c r="B71" t="s">
        <v>7</v>
      </c>
      <c r="C71" t="s">
        <v>8</v>
      </c>
      <c r="E71" t="s">
        <v>145</v>
      </c>
      <c r="F71">
        <v>15.343</v>
      </c>
      <c r="G71">
        <v>6.633</v>
      </c>
      <c r="H71">
        <v>9.74</v>
      </c>
      <c r="I71">
        <v>6.9569999999999999</v>
      </c>
      <c r="J71">
        <v>6.1440000000000001</v>
      </c>
      <c r="K71">
        <v>6.83</v>
      </c>
      <c r="L71">
        <v>2019</v>
      </c>
    </row>
    <row r="72" spans="1:12" x14ac:dyDescent="0.25">
      <c r="A72" t="s">
        <v>146</v>
      </c>
      <c r="B72" t="s">
        <v>7</v>
      </c>
      <c r="C72" t="s">
        <v>8</v>
      </c>
      <c r="E72" t="s">
        <v>147</v>
      </c>
      <c r="F72">
        <v>20.573</v>
      </c>
      <c r="G72">
        <v>-7.7119999999999997</v>
      </c>
      <c r="H72">
        <v>4.0519999999999996</v>
      </c>
      <c r="I72">
        <v>3.0840000000000001</v>
      </c>
      <c r="J72">
        <v>3.121</v>
      </c>
      <c r="K72">
        <v>2.153</v>
      </c>
      <c r="L72">
        <v>2019</v>
      </c>
    </row>
    <row r="73" spans="1:12" x14ac:dyDescent="0.25">
      <c r="A73" t="s">
        <v>148</v>
      </c>
      <c r="B73" t="s">
        <v>7</v>
      </c>
      <c r="C73" t="s">
        <v>8</v>
      </c>
      <c r="E73" t="s">
        <v>149</v>
      </c>
      <c r="F73">
        <v>16.271000000000001</v>
      </c>
      <c r="G73">
        <v>54.932000000000002</v>
      </c>
      <c r="H73">
        <v>45.377000000000002</v>
      </c>
      <c r="I73">
        <v>4.8390000000000004</v>
      </c>
      <c r="J73">
        <v>3.79</v>
      </c>
      <c r="K73">
        <v>3.7010000000000001</v>
      </c>
      <c r="L73">
        <v>2020</v>
      </c>
    </row>
    <row r="74" spans="1:12" x14ac:dyDescent="0.25">
      <c r="A74" t="s">
        <v>150</v>
      </c>
      <c r="B74" t="s">
        <v>7</v>
      </c>
      <c r="C74" t="s">
        <v>8</v>
      </c>
      <c r="E74" t="s">
        <v>151</v>
      </c>
      <c r="F74">
        <v>7.0410000000000004</v>
      </c>
      <c r="G74">
        <v>3.8610000000000002</v>
      </c>
      <c r="H74">
        <v>1.9390000000000001</v>
      </c>
      <c r="I74">
        <v>1.204</v>
      </c>
      <c r="J74">
        <v>1.7</v>
      </c>
      <c r="K74">
        <v>0.84799999999999998</v>
      </c>
      <c r="L74">
        <v>2020</v>
      </c>
    </row>
    <row r="75" spans="1:12" x14ac:dyDescent="0.25">
      <c r="A75" t="s">
        <v>152</v>
      </c>
      <c r="B75" t="s">
        <v>7</v>
      </c>
      <c r="C75" t="s">
        <v>8</v>
      </c>
      <c r="E75" t="s">
        <v>153</v>
      </c>
      <c r="F75">
        <v>-7.3999999999999996E-2</v>
      </c>
      <c r="G75">
        <v>7.0789999999999997</v>
      </c>
      <c r="H75">
        <v>7.923</v>
      </c>
      <c r="I75">
        <v>7.6</v>
      </c>
      <c r="J75">
        <v>6.6970000000000001</v>
      </c>
      <c r="K75">
        <v>5.7279999999999998</v>
      </c>
      <c r="L75">
        <v>2019</v>
      </c>
    </row>
    <row r="76" spans="1:12" x14ac:dyDescent="0.25">
      <c r="A76" t="s">
        <v>154</v>
      </c>
      <c r="B76" t="s">
        <v>7</v>
      </c>
      <c r="C76" t="s">
        <v>8</v>
      </c>
      <c r="E76" t="s">
        <v>155</v>
      </c>
      <c r="F76">
        <v>17.469000000000001</v>
      </c>
      <c r="G76">
        <v>4.2469999999999999</v>
      </c>
      <c r="H76">
        <v>3.5819999999999999</v>
      </c>
      <c r="I76">
        <v>3.4910000000000001</v>
      </c>
      <c r="J76">
        <v>3.488</v>
      </c>
      <c r="K76">
        <v>3.47</v>
      </c>
      <c r="L76">
        <v>2020</v>
      </c>
    </row>
    <row r="77" spans="1:12" x14ac:dyDescent="0.25">
      <c r="A77" t="s">
        <v>156</v>
      </c>
      <c r="B77" t="s">
        <v>7</v>
      </c>
      <c r="C77" t="s">
        <v>8</v>
      </c>
      <c r="E77" t="s">
        <v>157</v>
      </c>
      <c r="F77">
        <v>3.246</v>
      </c>
      <c r="G77">
        <v>7.1589999999999998</v>
      </c>
      <c r="H77">
        <v>5.1989999999999998</v>
      </c>
      <c r="I77">
        <v>5.4210000000000003</v>
      </c>
      <c r="J77">
        <v>5.3</v>
      </c>
      <c r="K77">
        <v>5.3769999999999998</v>
      </c>
      <c r="L77">
        <v>2020</v>
      </c>
    </row>
    <row r="78" spans="1:12" x14ac:dyDescent="0.25">
      <c r="A78" t="s">
        <v>158</v>
      </c>
      <c r="B78" t="s">
        <v>7</v>
      </c>
      <c r="C78" t="s">
        <v>8</v>
      </c>
      <c r="E78" t="s">
        <v>159</v>
      </c>
      <c r="F78">
        <v>4.8369999999999997</v>
      </c>
      <c r="G78">
        <v>4</v>
      </c>
      <c r="H78">
        <v>3</v>
      </c>
      <c r="I78">
        <v>3</v>
      </c>
      <c r="J78">
        <v>2.5</v>
      </c>
      <c r="K78">
        <v>2.5</v>
      </c>
      <c r="L78">
        <v>2020</v>
      </c>
    </row>
    <row r="79" spans="1:12" x14ac:dyDescent="0.25">
      <c r="A79" t="s">
        <v>160</v>
      </c>
      <c r="B79" t="s">
        <v>7</v>
      </c>
      <c r="C79" t="s">
        <v>8</v>
      </c>
      <c r="E79" t="s">
        <v>161</v>
      </c>
      <c r="F79">
        <v>6.5</v>
      </c>
      <c r="G79">
        <v>5.8</v>
      </c>
      <c r="H79">
        <v>6</v>
      </c>
      <c r="I79">
        <v>6</v>
      </c>
      <c r="J79">
        <v>6</v>
      </c>
      <c r="K79">
        <v>6</v>
      </c>
      <c r="L79">
        <v>2020</v>
      </c>
    </row>
    <row r="80" spans="1:12" x14ac:dyDescent="0.25">
      <c r="A80" t="s">
        <v>162</v>
      </c>
      <c r="B80" t="s">
        <v>7</v>
      </c>
      <c r="C80" t="s">
        <v>8</v>
      </c>
      <c r="E80" t="s">
        <v>163</v>
      </c>
      <c r="F80">
        <v>8.8930000000000007</v>
      </c>
      <c r="G80">
        <v>5.681</v>
      </c>
      <c r="H80">
        <v>5.4960000000000004</v>
      </c>
      <c r="I80">
        <v>7.6239999999999997</v>
      </c>
      <c r="J80">
        <v>8.7170000000000005</v>
      </c>
      <c r="K80">
        <v>8.3689999999999998</v>
      </c>
      <c r="L80">
        <v>2020</v>
      </c>
    </row>
    <row r="81" spans="1:12" x14ac:dyDescent="0.25">
      <c r="A81" t="s">
        <v>164</v>
      </c>
      <c r="B81" t="s">
        <v>7</v>
      </c>
      <c r="C81" t="s">
        <v>8</v>
      </c>
      <c r="E81" t="s">
        <v>165</v>
      </c>
      <c r="F81">
        <v>12.638</v>
      </c>
      <c r="G81">
        <v>-0.629</v>
      </c>
      <c r="H81">
        <v>3.0720000000000001</v>
      </c>
      <c r="I81">
        <v>3.206</v>
      </c>
      <c r="J81">
        <v>4.0519999999999996</v>
      </c>
      <c r="K81">
        <v>3.863</v>
      </c>
      <c r="L81">
        <v>2020</v>
      </c>
    </row>
    <row r="82" spans="1:12" x14ac:dyDescent="0.25">
      <c r="A82" t="s">
        <v>166</v>
      </c>
      <c r="B82" t="s">
        <v>7</v>
      </c>
      <c r="C82" t="s">
        <v>8</v>
      </c>
    </row>
    <row r="83" spans="1:12" x14ac:dyDescent="0.25">
      <c r="A83" t="s">
        <v>167</v>
      </c>
      <c r="B83" t="s">
        <v>7</v>
      </c>
      <c r="C83" t="s">
        <v>8</v>
      </c>
      <c r="E83" t="s">
        <v>168</v>
      </c>
      <c r="F83">
        <v>20</v>
      </c>
      <c r="G83">
        <v>2.4</v>
      </c>
      <c r="H83">
        <v>4.5</v>
      </c>
      <c r="I83">
        <v>4</v>
      </c>
      <c r="J83">
        <v>4</v>
      </c>
      <c r="K83">
        <v>4</v>
      </c>
      <c r="L83">
        <v>2020</v>
      </c>
    </row>
    <row r="84" spans="1:12" x14ac:dyDescent="0.25">
      <c r="A84" t="s">
        <v>169</v>
      </c>
      <c r="B84" t="s">
        <v>7</v>
      </c>
      <c r="C84" t="s">
        <v>8</v>
      </c>
      <c r="E84" t="s">
        <v>170</v>
      </c>
      <c r="F84">
        <v>6.141</v>
      </c>
      <c r="G84">
        <v>2</v>
      </c>
      <c r="H84">
        <v>1.0129999999999999</v>
      </c>
      <c r="I84">
        <v>0.93799999999999994</v>
      </c>
      <c r="J84">
        <v>0.86299999999999999</v>
      </c>
      <c r="K84">
        <v>0.94499999999999995</v>
      </c>
      <c r="L84">
        <v>2020</v>
      </c>
    </row>
    <row r="85" spans="1:12" x14ac:dyDescent="0.25">
      <c r="A85" t="s">
        <v>171</v>
      </c>
      <c r="B85" t="s">
        <v>7</v>
      </c>
      <c r="C85" t="s">
        <v>8</v>
      </c>
      <c r="E85" t="s">
        <v>172</v>
      </c>
      <c r="F85">
        <v>12.076000000000001</v>
      </c>
      <c r="G85">
        <v>6.9969999999999999</v>
      </c>
      <c r="H85">
        <v>4.758</v>
      </c>
      <c r="I85">
        <v>3.6579999999999999</v>
      </c>
      <c r="J85">
        <v>3.4460000000000002</v>
      </c>
      <c r="K85">
        <v>3.3210000000000002</v>
      </c>
      <c r="L85">
        <v>2020</v>
      </c>
    </row>
    <row r="86" spans="1:12" x14ac:dyDescent="0.25">
      <c r="A86" t="s">
        <v>173</v>
      </c>
      <c r="B86" t="s">
        <v>7</v>
      </c>
      <c r="C86" t="s">
        <v>8</v>
      </c>
      <c r="E86" t="s">
        <v>174</v>
      </c>
      <c r="F86">
        <v>20.323</v>
      </c>
      <c r="G86">
        <v>15.532999999999999</v>
      </c>
      <c r="H86">
        <v>20.216000000000001</v>
      </c>
      <c r="I86">
        <v>10.247999999999999</v>
      </c>
      <c r="J86">
        <v>2.665</v>
      </c>
      <c r="K86">
        <v>4.1379999999999999</v>
      </c>
      <c r="L86">
        <v>2019</v>
      </c>
    </row>
    <row r="87" spans="1:12" x14ac:dyDescent="0.25">
      <c r="A87" t="s">
        <v>175</v>
      </c>
      <c r="B87" t="s">
        <v>7</v>
      </c>
      <c r="C87" t="s">
        <v>8</v>
      </c>
      <c r="E87" t="s">
        <v>176</v>
      </c>
      <c r="F87">
        <v>13.183</v>
      </c>
      <c r="G87">
        <v>7.7489999999999997</v>
      </c>
      <c r="H87">
        <v>2.7170000000000001</v>
      </c>
      <c r="I87">
        <v>2.2210000000000001</v>
      </c>
      <c r="J87">
        <v>1.9370000000000001</v>
      </c>
      <c r="K87">
        <v>1.8360000000000001</v>
      </c>
      <c r="L87">
        <v>2020</v>
      </c>
    </row>
    <row r="88" spans="1:12" x14ac:dyDescent="0.25">
      <c r="A88" t="s">
        <v>177</v>
      </c>
      <c r="B88" t="s">
        <v>7</v>
      </c>
      <c r="C88" t="s">
        <v>8</v>
      </c>
      <c r="E88" t="s">
        <v>178</v>
      </c>
      <c r="F88">
        <v>6.766</v>
      </c>
      <c r="G88">
        <v>7.6550000000000002</v>
      </c>
      <c r="H88">
        <v>5.306</v>
      </c>
      <c r="I88">
        <v>3.726</v>
      </c>
      <c r="J88">
        <v>3.536</v>
      </c>
      <c r="K88">
        <v>3.528</v>
      </c>
      <c r="L88">
        <v>2019</v>
      </c>
    </row>
    <row r="89" spans="1:12" x14ac:dyDescent="0.25">
      <c r="A89" t="s">
        <v>179</v>
      </c>
      <c r="B89" t="s">
        <v>7</v>
      </c>
      <c r="C89" t="s">
        <v>8</v>
      </c>
      <c r="E89" t="s">
        <v>180</v>
      </c>
      <c r="F89">
        <v>-2.722</v>
      </c>
      <c r="G89">
        <v>2.4239999999999999</v>
      </c>
      <c r="H89">
        <v>8.5340000000000007</v>
      </c>
      <c r="I89">
        <v>4.0060000000000002</v>
      </c>
      <c r="J89">
        <v>1.6910000000000001</v>
      </c>
      <c r="K89">
        <v>3.9889999999999999</v>
      </c>
      <c r="L89">
        <v>2019</v>
      </c>
    </row>
    <row r="90" spans="1:12" x14ac:dyDescent="0.25">
      <c r="A90" t="s">
        <v>181</v>
      </c>
      <c r="B90" t="s">
        <v>7</v>
      </c>
      <c r="C90" t="s">
        <v>8</v>
      </c>
      <c r="E90" t="s">
        <v>182</v>
      </c>
      <c r="F90">
        <v>14.096</v>
      </c>
      <c r="G90">
        <v>9.4039999999999999</v>
      </c>
      <c r="H90">
        <v>12.143000000000001</v>
      </c>
      <c r="I90">
        <v>10.609</v>
      </c>
      <c r="J90">
        <v>10.1</v>
      </c>
      <c r="K90">
        <v>6.7690000000000001</v>
      </c>
      <c r="L90">
        <v>2019</v>
      </c>
    </row>
    <row r="91" spans="1:12" x14ac:dyDescent="0.25">
      <c r="A91" t="s">
        <v>183</v>
      </c>
      <c r="B91" t="s">
        <v>7</v>
      </c>
      <c r="C91" t="s">
        <v>8</v>
      </c>
      <c r="E91" t="s">
        <v>184</v>
      </c>
      <c r="F91">
        <v>44.414000000000001</v>
      </c>
      <c r="G91">
        <v>30.545000000000002</v>
      </c>
      <c r="H91">
        <v>31.306999999999999</v>
      </c>
      <c r="I91">
        <v>17.663</v>
      </c>
      <c r="J91">
        <v>7.8150000000000004</v>
      </c>
      <c r="K91">
        <v>4.1440000000000001</v>
      </c>
      <c r="L91">
        <v>2019</v>
      </c>
    </row>
    <row r="92" spans="1:12" x14ac:dyDescent="0.25">
      <c r="A92" t="s">
        <v>185</v>
      </c>
      <c r="B92" t="s">
        <v>7</v>
      </c>
      <c r="C92" t="s">
        <v>8</v>
      </c>
      <c r="E92" t="s">
        <v>186</v>
      </c>
      <c r="F92">
        <v>9.0399999999999991</v>
      </c>
      <c r="G92">
        <v>4.3609999999999998</v>
      </c>
      <c r="H92">
        <v>3.7309999999999999</v>
      </c>
      <c r="I92">
        <v>3.4820000000000002</v>
      </c>
      <c r="J92">
        <v>3.3780000000000001</v>
      </c>
      <c r="K92">
        <v>3.3410000000000002</v>
      </c>
      <c r="L92">
        <v>2020</v>
      </c>
    </row>
    <row r="93" spans="1:12" x14ac:dyDescent="0.25">
      <c r="A93" t="s">
        <v>187</v>
      </c>
      <c r="B93" t="s">
        <v>7</v>
      </c>
      <c r="C93" t="s">
        <v>8</v>
      </c>
      <c r="E93" t="s">
        <v>188</v>
      </c>
      <c r="F93">
        <v>22.914999999999999</v>
      </c>
      <c r="G93">
        <v>3.2050000000000001</v>
      </c>
      <c r="H93">
        <v>6.1589999999999998</v>
      </c>
      <c r="I93">
        <v>-0.51</v>
      </c>
      <c r="J93">
        <v>-0.80300000000000005</v>
      </c>
      <c r="K93">
        <v>4.5439999999999996</v>
      </c>
      <c r="L93">
        <v>2020</v>
      </c>
    </row>
    <row r="94" spans="1:12" x14ac:dyDescent="0.25">
      <c r="A94" t="s">
        <v>189</v>
      </c>
      <c r="B94" t="s">
        <v>7</v>
      </c>
      <c r="C94" t="s">
        <v>8</v>
      </c>
      <c r="E94" t="s">
        <v>190</v>
      </c>
      <c r="F94">
        <v>-0.96199999999999997</v>
      </c>
      <c r="G94">
        <v>6.7679999999999998</v>
      </c>
      <c r="H94">
        <v>3.4039999999999999</v>
      </c>
      <c r="I94">
        <v>3.2490000000000001</v>
      </c>
      <c r="J94">
        <v>3.113</v>
      </c>
      <c r="K94">
        <v>2.9929999999999999</v>
      </c>
      <c r="L94">
        <v>2019</v>
      </c>
    </row>
    <row r="95" spans="1:12" x14ac:dyDescent="0.25">
      <c r="A95" t="s">
        <v>191</v>
      </c>
      <c r="B95" t="s">
        <v>7</v>
      </c>
      <c r="C95" t="s">
        <v>8</v>
      </c>
      <c r="E95" t="s">
        <v>192</v>
      </c>
      <c r="F95">
        <v>-14.218999999999999</v>
      </c>
      <c r="G95">
        <v>17.632999999999999</v>
      </c>
      <c r="H95">
        <v>8.7690000000000001</v>
      </c>
      <c r="I95">
        <v>6.0510000000000002</v>
      </c>
      <c r="J95">
        <v>6.13</v>
      </c>
      <c r="K95">
        <v>1.87</v>
      </c>
      <c r="L95">
        <v>2019</v>
      </c>
    </row>
    <row r="96" spans="1:12" x14ac:dyDescent="0.25">
      <c r="A96" t="s">
        <v>193</v>
      </c>
      <c r="B96" t="s">
        <v>7</v>
      </c>
      <c r="C96" t="s">
        <v>8</v>
      </c>
      <c r="E96" t="s">
        <v>194</v>
      </c>
      <c r="F96">
        <v>-18.962</v>
      </c>
      <c r="G96">
        <v>5.2270000000000003</v>
      </c>
      <c r="H96">
        <v>4.4740000000000002</v>
      </c>
      <c r="I96">
        <v>2.601</v>
      </c>
      <c r="J96">
        <v>7.1580000000000004</v>
      </c>
      <c r="K96">
        <v>6.7629999999999999</v>
      </c>
      <c r="L96">
        <v>2020</v>
      </c>
    </row>
    <row r="97" spans="1:12" x14ac:dyDescent="0.25">
      <c r="A97" t="s">
        <v>195</v>
      </c>
      <c r="B97" t="s">
        <v>7</v>
      </c>
      <c r="C97" t="s">
        <v>8</v>
      </c>
      <c r="E97" t="s">
        <v>196</v>
      </c>
      <c r="F97">
        <v>4.4829999999999997</v>
      </c>
      <c r="G97">
        <v>3.9409999999999998</v>
      </c>
      <c r="H97">
        <v>2.7080000000000002</v>
      </c>
      <c r="I97">
        <v>2.42</v>
      </c>
      <c r="J97">
        <v>2.2730000000000001</v>
      </c>
      <c r="K97">
        <v>2.2029999999999998</v>
      </c>
      <c r="L97">
        <v>2020</v>
      </c>
    </row>
    <row r="98" spans="1:12" x14ac:dyDescent="0.25">
      <c r="A98" t="s">
        <v>197</v>
      </c>
      <c r="B98" t="s">
        <v>7</v>
      </c>
      <c r="C98" t="s">
        <v>8</v>
      </c>
      <c r="E98" t="s">
        <v>198</v>
      </c>
      <c r="F98" t="s">
        <v>10</v>
      </c>
      <c r="G98" t="s">
        <v>10</v>
      </c>
      <c r="H98" t="s">
        <v>10</v>
      </c>
      <c r="I98" t="s">
        <v>10</v>
      </c>
      <c r="J98" t="s">
        <v>10</v>
      </c>
      <c r="K98" t="s">
        <v>10</v>
      </c>
      <c r="L98">
        <v>2019</v>
      </c>
    </row>
    <row r="99" spans="1:12" x14ac:dyDescent="0.25">
      <c r="A99" t="s">
        <v>199</v>
      </c>
      <c r="B99" t="s">
        <v>7</v>
      </c>
      <c r="C99" t="s">
        <v>8</v>
      </c>
      <c r="E99" t="s">
        <v>200</v>
      </c>
      <c r="F99">
        <v>11.909000000000001</v>
      </c>
      <c r="G99">
        <v>2.431</v>
      </c>
      <c r="H99">
        <v>3.6110000000000002</v>
      </c>
      <c r="I99">
        <v>2.827</v>
      </c>
      <c r="J99">
        <v>9.6509999999999998</v>
      </c>
      <c r="K99">
        <v>2.91</v>
      </c>
      <c r="L99">
        <v>2021</v>
      </c>
    </row>
    <row r="100" spans="1:12" x14ac:dyDescent="0.25">
      <c r="A100" t="s">
        <v>201</v>
      </c>
      <c r="B100" t="s">
        <v>7</v>
      </c>
      <c r="C100" t="s">
        <v>8</v>
      </c>
      <c r="E100" t="s">
        <v>202</v>
      </c>
      <c r="F100">
        <v>32.441000000000003</v>
      </c>
      <c r="G100">
        <v>2.6920000000000002</v>
      </c>
      <c r="H100">
        <v>1.0609999999999999</v>
      </c>
      <c r="I100">
        <v>2.4820000000000002</v>
      </c>
      <c r="J100">
        <v>2.7330000000000001</v>
      </c>
      <c r="K100">
        <v>2.9790000000000001</v>
      </c>
      <c r="L100">
        <v>2019</v>
      </c>
    </row>
    <row r="101" spans="1:12" x14ac:dyDescent="0.25">
      <c r="A101" t="s">
        <v>203</v>
      </c>
      <c r="B101" t="s">
        <v>7</v>
      </c>
      <c r="C101" t="s">
        <v>8</v>
      </c>
      <c r="E101" t="s">
        <v>204</v>
      </c>
      <c r="F101">
        <v>388.62700000000001</v>
      </c>
      <c r="G101">
        <v>3.0369999999999999</v>
      </c>
      <c r="H101">
        <v>-1.4279999999999999</v>
      </c>
      <c r="I101">
        <v>-3.9380000000000002</v>
      </c>
      <c r="J101">
        <v>1.69</v>
      </c>
      <c r="K101">
        <v>2.4300000000000002</v>
      </c>
      <c r="L101">
        <v>2017</v>
      </c>
    </row>
    <row r="102" spans="1:12" x14ac:dyDescent="0.25">
      <c r="A102" t="s">
        <v>205</v>
      </c>
      <c r="B102" t="s">
        <v>7</v>
      </c>
      <c r="C102" t="s">
        <v>8</v>
      </c>
    </row>
    <row r="103" spans="1:12" x14ac:dyDescent="0.25">
      <c r="A103" t="s">
        <v>206</v>
      </c>
      <c r="B103" t="s">
        <v>7</v>
      </c>
      <c r="C103" t="s">
        <v>8</v>
      </c>
      <c r="E103" t="s">
        <v>207</v>
      </c>
      <c r="F103">
        <v>15.03</v>
      </c>
      <c r="G103">
        <v>11.778</v>
      </c>
      <c r="H103">
        <v>3.6560000000000001</v>
      </c>
      <c r="I103">
        <v>3</v>
      </c>
      <c r="J103">
        <v>2.9</v>
      </c>
      <c r="K103">
        <v>2.9</v>
      </c>
      <c r="L103">
        <v>2020</v>
      </c>
    </row>
    <row r="104" spans="1:12" x14ac:dyDescent="0.25">
      <c r="A104" t="s">
        <v>208</v>
      </c>
      <c r="B104" t="s">
        <v>7</v>
      </c>
      <c r="C104" t="s">
        <v>8</v>
      </c>
    </row>
    <row r="105" spans="1:12" x14ac:dyDescent="0.25">
      <c r="A105" t="s">
        <v>209</v>
      </c>
      <c r="B105" t="s">
        <v>7</v>
      </c>
      <c r="C105" t="s">
        <v>8</v>
      </c>
      <c r="E105" t="s">
        <v>210</v>
      </c>
      <c r="F105">
        <v>2.7160000000000002</v>
      </c>
      <c r="G105">
        <v>10.435</v>
      </c>
      <c r="H105">
        <v>8.5909999999999993</v>
      </c>
      <c r="I105">
        <v>7.8380000000000001</v>
      </c>
      <c r="J105">
        <v>10.702999999999999</v>
      </c>
      <c r="K105">
        <v>6.5010000000000003</v>
      </c>
      <c r="L105">
        <v>2019</v>
      </c>
    </row>
    <row r="106" spans="1:12" x14ac:dyDescent="0.25">
      <c r="A106" t="s">
        <v>211</v>
      </c>
      <c r="B106" t="s">
        <v>7</v>
      </c>
      <c r="C106" t="s">
        <v>8</v>
      </c>
      <c r="E106" t="s">
        <v>212</v>
      </c>
      <c r="F106">
        <v>8.9190000000000005</v>
      </c>
      <c r="G106">
        <v>5.9930000000000003</v>
      </c>
      <c r="H106">
        <v>16.138999999999999</v>
      </c>
      <c r="I106">
        <v>16.456</v>
      </c>
      <c r="J106">
        <v>13.257999999999999</v>
      </c>
      <c r="K106">
        <v>11.885999999999999</v>
      </c>
      <c r="L106">
        <v>2020</v>
      </c>
    </row>
    <row r="107" spans="1:12" x14ac:dyDescent="0.25">
      <c r="A107" t="s">
        <v>213</v>
      </c>
      <c r="B107" t="s">
        <v>7</v>
      </c>
      <c r="C107" t="s">
        <v>8</v>
      </c>
      <c r="E107" t="s">
        <v>214</v>
      </c>
      <c r="F107">
        <v>8.5280000000000005</v>
      </c>
      <c r="G107">
        <v>1.621</v>
      </c>
      <c r="H107">
        <v>3.968</v>
      </c>
      <c r="I107">
        <v>3.6789999999999998</v>
      </c>
      <c r="J107">
        <v>3.637</v>
      </c>
      <c r="K107">
        <v>3.5840000000000001</v>
      </c>
      <c r="L107">
        <v>2020</v>
      </c>
    </row>
    <row r="108" spans="1:12" x14ac:dyDescent="0.25">
      <c r="A108" t="s">
        <v>215</v>
      </c>
      <c r="B108" t="s">
        <v>7</v>
      </c>
      <c r="C108" t="s">
        <v>8</v>
      </c>
      <c r="E108" t="s">
        <v>216</v>
      </c>
      <c r="F108">
        <v>14.827</v>
      </c>
      <c r="G108">
        <v>8.2720000000000002</v>
      </c>
      <c r="H108">
        <v>3.109</v>
      </c>
      <c r="I108">
        <v>-2.5510000000000002</v>
      </c>
      <c r="J108">
        <v>4.633</v>
      </c>
      <c r="K108">
        <v>4.3179999999999996</v>
      </c>
      <c r="L108">
        <v>2020</v>
      </c>
    </row>
    <row r="109" spans="1:12" x14ac:dyDescent="0.25">
      <c r="A109" t="s">
        <v>217</v>
      </c>
      <c r="B109" t="s">
        <v>7</v>
      </c>
      <c r="C109" t="s">
        <v>8</v>
      </c>
      <c r="E109" t="s">
        <v>218</v>
      </c>
      <c r="F109">
        <v>-18.952999999999999</v>
      </c>
      <c r="G109">
        <v>21.629000000000001</v>
      </c>
      <c r="H109">
        <v>7.6050000000000004</v>
      </c>
      <c r="I109">
        <v>5.0990000000000002</v>
      </c>
      <c r="J109">
        <v>4.923</v>
      </c>
      <c r="K109">
        <v>4.952</v>
      </c>
      <c r="L109">
        <v>2019</v>
      </c>
    </row>
    <row r="110" spans="1:12" x14ac:dyDescent="0.25">
      <c r="A110" t="s">
        <v>219</v>
      </c>
      <c r="B110" t="s">
        <v>7</v>
      </c>
      <c r="C110" t="s">
        <v>8</v>
      </c>
      <c r="E110" t="s">
        <v>220</v>
      </c>
      <c r="F110">
        <v>5.0999999999999996</v>
      </c>
      <c r="G110">
        <v>5.8</v>
      </c>
      <c r="H110">
        <v>2.94</v>
      </c>
      <c r="I110">
        <v>2.8</v>
      </c>
      <c r="J110">
        <v>2.4</v>
      </c>
      <c r="K110">
        <v>2.2799999999999998</v>
      </c>
      <c r="L110">
        <v>2020</v>
      </c>
    </row>
    <row r="111" spans="1:12" x14ac:dyDescent="0.25">
      <c r="A111" t="s">
        <v>221</v>
      </c>
      <c r="B111" t="s">
        <v>7</v>
      </c>
      <c r="C111" t="s">
        <v>8</v>
      </c>
    </row>
    <row r="112" spans="1:12" x14ac:dyDescent="0.25">
      <c r="A112" t="s">
        <v>222</v>
      </c>
      <c r="B112" t="s">
        <v>7</v>
      </c>
      <c r="C112" t="s">
        <v>8</v>
      </c>
      <c r="E112" t="s">
        <v>223</v>
      </c>
      <c r="F112">
        <v>1.113</v>
      </c>
      <c r="G112">
        <v>6.2880000000000003</v>
      </c>
      <c r="H112">
        <v>4.282</v>
      </c>
      <c r="I112">
        <v>-5.1459999999999999</v>
      </c>
      <c r="J112">
        <v>1.343</v>
      </c>
      <c r="K112">
        <v>0.97099999999999997</v>
      </c>
      <c r="L112">
        <v>2020</v>
      </c>
    </row>
    <row r="113" spans="1:12" x14ac:dyDescent="0.25">
      <c r="A113" t="s">
        <v>224</v>
      </c>
      <c r="B113" t="s">
        <v>7</v>
      </c>
      <c r="C113" t="s">
        <v>8</v>
      </c>
      <c r="E113" t="s">
        <v>225</v>
      </c>
      <c r="F113">
        <v>33.125999999999998</v>
      </c>
      <c r="G113">
        <v>-2.6970000000000001</v>
      </c>
      <c r="H113">
        <v>1.7190000000000001</v>
      </c>
      <c r="I113">
        <v>0.96399999999999997</v>
      </c>
      <c r="J113">
        <v>2.0019999999999998</v>
      </c>
      <c r="K113">
        <v>2.2719999999999998</v>
      </c>
      <c r="L113">
        <v>2020</v>
      </c>
    </row>
    <row r="114" spans="1:12" x14ac:dyDescent="0.25">
      <c r="A114" t="s">
        <v>226</v>
      </c>
      <c r="B114" t="s">
        <v>7</v>
      </c>
      <c r="C114" t="s">
        <v>8</v>
      </c>
      <c r="E114" t="s">
        <v>227</v>
      </c>
      <c r="F114">
        <v>8.7080000000000002</v>
      </c>
      <c r="G114">
        <v>5.66</v>
      </c>
      <c r="H114">
        <v>2.0339999999999998</v>
      </c>
      <c r="I114">
        <v>1.726</v>
      </c>
      <c r="J114">
        <v>1.7110000000000001</v>
      </c>
      <c r="K114">
        <v>1.681</v>
      </c>
      <c r="L114">
        <v>2020</v>
      </c>
    </row>
    <row r="115" spans="1:12" x14ac:dyDescent="0.25">
      <c r="A115" t="s">
        <v>228</v>
      </c>
      <c r="B115" t="s">
        <v>7</v>
      </c>
      <c r="C115" t="s">
        <v>8</v>
      </c>
    </row>
    <row r="116" spans="1:12" x14ac:dyDescent="0.25">
      <c r="A116" t="s">
        <v>229</v>
      </c>
      <c r="B116" t="s">
        <v>7</v>
      </c>
      <c r="C116" t="s">
        <v>8</v>
      </c>
      <c r="E116" t="s">
        <v>230</v>
      </c>
      <c r="F116">
        <v>11.006</v>
      </c>
      <c r="G116">
        <v>8.6</v>
      </c>
      <c r="H116">
        <v>6.3289999999999997</v>
      </c>
      <c r="I116">
        <v>5.952</v>
      </c>
      <c r="J116">
        <v>5.9020000000000001</v>
      </c>
      <c r="K116">
        <v>5.85</v>
      </c>
      <c r="L116">
        <v>2019</v>
      </c>
    </row>
    <row r="117" spans="1:12" x14ac:dyDescent="0.25">
      <c r="A117" t="s">
        <v>231</v>
      </c>
      <c r="B117" t="s">
        <v>7</v>
      </c>
      <c r="C117" t="s">
        <v>8</v>
      </c>
      <c r="E117" t="s">
        <v>232</v>
      </c>
      <c r="F117">
        <v>-5.7039999999999997</v>
      </c>
      <c r="G117">
        <v>12.09</v>
      </c>
      <c r="H117">
        <v>12.808</v>
      </c>
      <c r="I117">
        <v>7.9960000000000004</v>
      </c>
      <c r="J117">
        <v>4.8650000000000002</v>
      </c>
      <c r="K117">
        <v>4.048</v>
      </c>
      <c r="L117">
        <v>2020</v>
      </c>
    </row>
    <row r="118" spans="1:12" x14ac:dyDescent="0.25">
      <c r="A118" t="s">
        <v>233</v>
      </c>
      <c r="B118" t="s">
        <v>7</v>
      </c>
      <c r="C118" t="s">
        <v>8</v>
      </c>
      <c r="E118" t="s">
        <v>234</v>
      </c>
      <c r="F118">
        <v>7.55</v>
      </c>
      <c r="G118">
        <v>3.4809999999999999</v>
      </c>
      <c r="H118">
        <v>2.6859999999999999</v>
      </c>
      <c r="I118">
        <v>2.23</v>
      </c>
      <c r="J118">
        <v>2.2730000000000001</v>
      </c>
      <c r="K118">
        <v>2.33</v>
      </c>
      <c r="L118">
        <v>2020</v>
      </c>
    </row>
    <row r="119" spans="1:12" x14ac:dyDescent="0.25">
      <c r="A119" t="s">
        <v>235</v>
      </c>
      <c r="B119" t="s">
        <v>7</v>
      </c>
      <c r="C119" t="s">
        <v>8</v>
      </c>
      <c r="E119" t="s">
        <v>236</v>
      </c>
      <c r="F119">
        <v>10.63</v>
      </c>
      <c r="G119">
        <v>9.6150000000000002</v>
      </c>
      <c r="H119">
        <v>5.617</v>
      </c>
      <c r="I119">
        <v>7.24</v>
      </c>
      <c r="J119">
        <v>7.399</v>
      </c>
      <c r="K119">
        <v>6.5389999999999997</v>
      </c>
      <c r="L119">
        <v>2020</v>
      </c>
    </row>
    <row r="120" spans="1:12" x14ac:dyDescent="0.25">
      <c r="A120" t="s">
        <v>237</v>
      </c>
      <c r="B120" t="s">
        <v>7</v>
      </c>
      <c r="C120" t="s">
        <v>8</v>
      </c>
      <c r="E120" t="s">
        <v>238</v>
      </c>
      <c r="F120">
        <v>-12.504</v>
      </c>
      <c r="G120">
        <v>29.166</v>
      </c>
      <c r="H120">
        <v>32.914000000000001</v>
      </c>
      <c r="I120">
        <v>2.9420000000000002</v>
      </c>
      <c r="J120">
        <v>2.0419999999999998</v>
      </c>
      <c r="K120">
        <v>28.190999999999999</v>
      </c>
      <c r="L120">
        <v>2019</v>
      </c>
    </row>
    <row r="121" spans="1:12" x14ac:dyDescent="0.25">
      <c r="A121" t="s">
        <v>239</v>
      </c>
      <c r="B121" t="s">
        <v>7</v>
      </c>
      <c r="C121" t="s">
        <v>8</v>
      </c>
      <c r="E121" t="s">
        <v>240</v>
      </c>
      <c r="F121">
        <v>-19.888999999999999</v>
      </c>
      <c r="G121">
        <v>5.343</v>
      </c>
      <c r="H121">
        <v>5.75</v>
      </c>
      <c r="I121">
        <v>1.1919999999999999</v>
      </c>
      <c r="J121">
        <v>5.0650000000000004</v>
      </c>
      <c r="K121">
        <v>-4.1879999999999997</v>
      </c>
      <c r="L121">
        <v>2020</v>
      </c>
    </row>
    <row r="122" spans="1:12" x14ac:dyDescent="0.25">
      <c r="A122" t="s">
        <v>241</v>
      </c>
      <c r="B122" t="s">
        <v>7</v>
      </c>
      <c r="C122" t="s">
        <v>8</v>
      </c>
      <c r="E122" t="s">
        <v>242</v>
      </c>
      <c r="F122">
        <v>15.11</v>
      </c>
      <c r="G122">
        <v>17.440999999999999</v>
      </c>
      <c r="H122">
        <v>9.0779999999999994</v>
      </c>
      <c r="I122">
        <v>6.8220000000000001</v>
      </c>
      <c r="J122">
        <v>4.6130000000000004</v>
      </c>
      <c r="K122">
        <v>6.1310000000000002</v>
      </c>
      <c r="L122">
        <v>2020</v>
      </c>
    </row>
    <row r="123" spans="1:12" x14ac:dyDescent="0.25">
      <c r="A123" t="s">
        <v>243</v>
      </c>
      <c r="B123" t="s">
        <v>7</v>
      </c>
      <c r="C123" t="s">
        <v>8</v>
      </c>
    </row>
    <row r="124" spans="1:12" x14ac:dyDescent="0.25">
      <c r="A124" t="s">
        <v>244</v>
      </c>
      <c r="B124" t="s">
        <v>7</v>
      </c>
      <c r="C124" t="s">
        <v>8</v>
      </c>
    </row>
    <row r="125" spans="1:12" x14ac:dyDescent="0.25">
      <c r="A125" t="s">
        <v>245</v>
      </c>
      <c r="B125" t="s">
        <v>7</v>
      </c>
      <c r="C125" t="s">
        <v>8</v>
      </c>
      <c r="E125" t="s">
        <v>246</v>
      </c>
      <c r="F125">
        <v>6.6740000000000004</v>
      </c>
      <c r="G125">
        <v>4.3</v>
      </c>
      <c r="H125">
        <v>3.992</v>
      </c>
      <c r="I125">
        <v>3.5760000000000001</v>
      </c>
      <c r="J125">
        <v>3.3690000000000002</v>
      </c>
      <c r="K125">
        <v>3.347</v>
      </c>
      <c r="L125">
        <v>2020</v>
      </c>
    </row>
    <row r="126" spans="1:12" x14ac:dyDescent="0.25">
      <c r="A126" t="s">
        <v>247</v>
      </c>
      <c r="B126" t="s">
        <v>7</v>
      </c>
      <c r="C126" t="s">
        <v>8</v>
      </c>
      <c r="E126" t="s">
        <v>248</v>
      </c>
      <c r="F126">
        <v>4.5430000000000001</v>
      </c>
      <c r="G126">
        <v>6.4429999999999996</v>
      </c>
      <c r="H126">
        <v>10.4</v>
      </c>
      <c r="I126">
        <v>5.7679999999999998</v>
      </c>
      <c r="J126">
        <v>3.6970000000000001</v>
      </c>
      <c r="K126">
        <v>3.3940000000000001</v>
      </c>
      <c r="L126">
        <v>2020</v>
      </c>
    </row>
    <row r="127" spans="1:12" x14ac:dyDescent="0.25">
      <c r="A127" t="s">
        <v>249</v>
      </c>
      <c r="B127" t="s">
        <v>7</v>
      </c>
      <c r="C127" t="s">
        <v>8</v>
      </c>
      <c r="E127" t="s">
        <v>250</v>
      </c>
      <c r="F127">
        <v>5.3090000000000002</v>
      </c>
      <c r="G127">
        <v>1.2170000000000001</v>
      </c>
      <c r="H127">
        <v>-0.217</v>
      </c>
      <c r="I127">
        <v>-2.6080000000000001</v>
      </c>
      <c r="J127">
        <v>-0.84599999999999997</v>
      </c>
      <c r="K127">
        <v>-6.0970000000000004</v>
      </c>
      <c r="L127">
        <v>2020</v>
      </c>
    </row>
    <row r="128" spans="1:12" x14ac:dyDescent="0.25">
      <c r="A128" t="s">
        <v>251</v>
      </c>
      <c r="B128" t="s">
        <v>7</v>
      </c>
      <c r="C128" t="s">
        <v>8</v>
      </c>
      <c r="E128" t="s">
        <v>252</v>
      </c>
      <c r="F128">
        <v>-7.87</v>
      </c>
      <c r="G128">
        <v>8.7710000000000008</v>
      </c>
      <c r="H128">
        <v>58.396999999999998</v>
      </c>
      <c r="I128">
        <v>45.636000000000003</v>
      </c>
      <c r="J128">
        <v>30.962</v>
      </c>
      <c r="K128">
        <v>1.716</v>
      </c>
      <c r="L128">
        <v>2020</v>
      </c>
    </row>
    <row r="129" spans="1:12" x14ac:dyDescent="0.25">
      <c r="A129" t="s">
        <v>253</v>
      </c>
      <c r="B129" t="s">
        <v>7</v>
      </c>
      <c r="C129" t="s">
        <v>8</v>
      </c>
      <c r="E129" t="s">
        <v>254</v>
      </c>
      <c r="F129">
        <v>-8.4740000000000002</v>
      </c>
      <c r="G129">
        <v>-0.495</v>
      </c>
      <c r="H129">
        <v>-2.077</v>
      </c>
      <c r="I129">
        <v>-4.2960000000000003</v>
      </c>
      <c r="J129">
        <v>-3.0129999999999999</v>
      </c>
      <c r="K129">
        <v>3.851</v>
      </c>
      <c r="L129">
        <v>2020</v>
      </c>
    </row>
    <row r="130" spans="1:12" x14ac:dyDescent="0.25">
      <c r="A130" t="s">
        <v>255</v>
      </c>
      <c r="B130" t="s">
        <v>7</v>
      </c>
      <c r="C130" t="s">
        <v>8</v>
      </c>
      <c r="E130" t="s">
        <v>256</v>
      </c>
      <c r="F130">
        <v>10.516999999999999</v>
      </c>
      <c r="G130">
        <v>6.57</v>
      </c>
      <c r="H130">
        <v>7.21</v>
      </c>
      <c r="I130">
        <v>8.1219999999999999</v>
      </c>
      <c r="J130">
        <v>8.702</v>
      </c>
      <c r="K130">
        <v>9.6219999999999999</v>
      </c>
      <c r="L130">
        <v>2020</v>
      </c>
    </row>
    <row r="131" spans="1:12" x14ac:dyDescent="0.25">
      <c r="A131" t="s">
        <v>257</v>
      </c>
      <c r="B131" t="s">
        <v>7</v>
      </c>
      <c r="C131" t="s">
        <v>8</v>
      </c>
      <c r="E131" t="s">
        <v>258</v>
      </c>
      <c r="F131">
        <v>3.3180000000000001</v>
      </c>
      <c r="G131">
        <v>6.6929999999999996</v>
      </c>
      <c r="H131">
        <v>4.7130000000000001</v>
      </c>
      <c r="I131">
        <v>1.964</v>
      </c>
      <c r="J131">
        <v>0.76300000000000001</v>
      </c>
      <c r="K131">
        <v>0.78100000000000003</v>
      </c>
      <c r="L131">
        <v>2019</v>
      </c>
    </row>
    <row r="132" spans="1:12" x14ac:dyDescent="0.25">
      <c r="A132" t="s">
        <v>259</v>
      </c>
      <c r="B132" t="s">
        <v>7</v>
      </c>
      <c r="C132" t="s">
        <v>8</v>
      </c>
      <c r="E132" t="s">
        <v>260</v>
      </c>
      <c r="F132">
        <v>-15.55</v>
      </c>
      <c r="G132">
        <v>15.111000000000001</v>
      </c>
      <c r="H132">
        <v>3.6429999999999998</v>
      </c>
      <c r="I132">
        <v>2.7970000000000002</v>
      </c>
      <c r="J132">
        <v>2.9279999999999999</v>
      </c>
      <c r="K132">
        <v>2.64</v>
      </c>
      <c r="L132">
        <v>2020</v>
      </c>
    </row>
    <row r="133" spans="1:12" x14ac:dyDescent="0.25">
      <c r="A133" t="s">
        <v>261</v>
      </c>
      <c r="B133" t="s">
        <v>7</v>
      </c>
      <c r="C133" t="s">
        <v>8</v>
      </c>
      <c r="E133" t="s">
        <v>262</v>
      </c>
      <c r="F133">
        <v>9.2309999999999999</v>
      </c>
      <c r="G133">
        <v>5.7110000000000003</v>
      </c>
      <c r="H133">
        <v>8.61</v>
      </c>
      <c r="I133">
        <v>7.8120000000000003</v>
      </c>
      <c r="J133">
        <v>2.2469999999999999</v>
      </c>
      <c r="K133">
        <v>1.75</v>
      </c>
      <c r="L133">
        <v>2020</v>
      </c>
    </row>
    <row r="134" spans="1:12" x14ac:dyDescent="0.25">
      <c r="A134" t="s">
        <v>263</v>
      </c>
      <c r="B134" t="s">
        <v>7</v>
      </c>
      <c r="C134" t="s">
        <v>8</v>
      </c>
      <c r="E134" t="s">
        <v>264</v>
      </c>
      <c r="F134">
        <v>22.847000000000001</v>
      </c>
      <c r="G134">
        <v>18.193000000000001</v>
      </c>
      <c r="H134">
        <v>41.545000000000002</v>
      </c>
      <c r="I134">
        <v>0.96699999999999997</v>
      </c>
      <c r="J134">
        <v>0.24</v>
      </c>
      <c r="K134">
        <v>0.442</v>
      </c>
      <c r="L134">
        <v>2020</v>
      </c>
    </row>
    <row r="135" spans="1:12" x14ac:dyDescent="0.25">
      <c r="A135" t="s">
        <v>265</v>
      </c>
      <c r="B135" t="s">
        <v>7</v>
      </c>
      <c r="C135" t="s">
        <v>8</v>
      </c>
      <c r="E135" t="s">
        <v>266</v>
      </c>
      <c r="F135">
        <v>11.156000000000001</v>
      </c>
      <c r="G135">
        <v>8.0850000000000009</v>
      </c>
      <c r="H135">
        <v>7.4550000000000001</v>
      </c>
      <c r="I135">
        <v>6.7089999999999996</v>
      </c>
      <c r="J135">
        <v>11.292</v>
      </c>
      <c r="K135">
        <v>8.8030000000000008</v>
      </c>
      <c r="L135">
        <v>2020</v>
      </c>
    </row>
    <row r="136" spans="1:12" x14ac:dyDescent="0.25">
      <c r="A136" t="s">
        <v>267</v>
      </c>
      <c r="B136" t="s">
        <v>7</v>
      </c>
      <c r="C136" t="s">
        <v>8</v>
      </c>
      <c r="E136" t="s">
        <v>268</v>
      </c>
      <c r="F136">
        <v>7.843</v>
      </c>
      <c r="G136">
        <v>1.4219999999999999</v>
      </c>
      <c r="H136">
        <v>1.2689999999999999</v>
      </c>
      <c r="I136">
        <v>0.88700000000000001</v>
      </c>
      <c r="J136">
        <v>2.06</v>
      </c>
      <c r="K136">
        <v>0.6</v>
      </c>
      <c r="L136">
        <v>2019</v>
      </c>
    </row>
    <row r="137" spans="1:12" x14ac:dyDescent="0.25">
      <c r="A137" t="s">
        <v>269</v>
      </c>
      <c r="B137" t="s">
        <v>7</v>
      </c>
      <c r="C137" t="s">
        <v>8</v>
      </c>
      <c r="E137" t="s">
        <v>270</v>
      </c>
      <c r="F137">
        <v>15.769</v>
      </c>
      <c r="G137">
        <v>6.7450000000000001</v>
      </c>
      <c r="H137">
        <v>5.1449999999999996</v>
      </c>
      <c r="I137">
        <v>2.9940000000000002</v>
      </c>
      <c r="J137">
        <v>2.992</v>
      </c>
      <c r="K137">
        <v>2.9969999999999999</v>
      </c>
      <c r="L137">
        <v>2019</v>
      </c>
    </row>
    <row r="138" spans="1:12" x14ac:dyDescent="0.25">
      <c r="A138" t="s">
        <v>271</v>
      </c>
      <c r="B138" t="s">
        <v>7</v>
      </c>
      <c r="C138" t="s">
        <v>8</v>
      </c>
      <c r="E138" t="s">
        <v>272</v>
      </c>
      <c r="F138">
        <v>10.301</v>
      </c>
      <c r="G138">
        <v>5.0090000000000003</v>
      </c>
      <c r="H138">
        <v>4.16</v>
      </c>
      <c r="I138">
        <v>3.9769999999999999</v>
      </c>
      <c r="J138">
        <v>3.996</v>
      </c>
      <c r="K138">
        <v>3.996</v>
      </c>
      <c r="L138">
        <v>2020</v>
      </c>
    </row>
    <row r="139" spans="1:12" x14ac:dyDescent="0.25">
      <c r="A139" t="s">
        <v>273</v>
      </c>
      <c r="B139" t="s">
        <v>7</v>
      </c>
      <c r="C139" t="s">
        <v>8</v>
      </c>
      <c r="E139" t="s">
        <v>274</v>
      </c>
      <c r="F139">
        <v>11.512</v>
      </c>
      <c r="G139">
        <v>13.53</v>
      </c>
      <c r="H139">
        <v>8.8019999999999996</v>
      </c>
      <c r="I139">
        <v>11.664999999999999</v>
      </c>
      <c r="J139">
        <v>10.64</v>
      </c>
      <c r="K139">
        <v>9.3480000000000008</v>
      </c>
      <c r="L139">
        <v>2020</v>
      </c>
    </row>
    <row r="140" spans="1:12" x14ac:dyDescent="0.25">
      <c r="A140" t="s">
        <v>275</v>
      </c>
      <c r="B140" t="s">
        <v>7</v>
      </c>
      <c r="C140" t="s">
        <v>8</v>
      </c>
      <c r="E140" t="s">
        <v>276</v>
      </c>
      <c r="F140">
        <v>11.278</v>
      </c>
      <c r="G140">
        <v>5.1840000000000002</v>
      </c>
      <c r="H140">
        <v>4.8869999999999996</v>
      </c>
      <c r="I140">
        <v>4.2</v>
      </c>
      <c r="J140">
        <v>4.2</v>
      </c>
      <c r="K140">
        <v>4.2</v>
      </c>
      <c r="L140">
        <v>2020</v>
      </c>
    </row>
    <row r="141" spans="1:12" x14ac:dyDescent="0.25">
      <c r="A141" t="s">
        <v>277</v>
      </c>
      <c r="B141" t="s">
        <v>7</v>
      </c>
      <c r="C141" t="s">
        <v>8</v>
      </c>
      <c r="E141" t="s">
        <v>278</v>
      </c>
      <c r="F141">
        <v>13.109</v>
      </c>
      <c r="G141">
        <v>8.1159999999999997</v>
      </c>
      <c r="H141">
        <v>6.3360000000000003</v>
      </c>
      <c r="I141">
        <v>4.5</v>
      </c>
      <c r="J141">
        <v>4</v>
      </c>
      <c r="K141">
        <v>4</v>
      </c>
      <c r="L141">
        <v>2020</v>
      </c>
    </row>
    <row r="142" spans="1:12" x14ac:dyDescent="0.25">
      <c r="A142" t="s">
        <v>279</v>
      </c>
      <c r="B142" t="s">
        <v>7</v>
      </c>
      <c r="C142" t="s">
        <v>8</v>
      </c>
    </row>
    <row r="143" spans="1:12" x14ac:dyDescent="0.25">
      <c r="A143" t="s">
        <v>280</v>
      </c>
      <c r="B143" t="s">
        <v>7</v>
      </c>
      <c r="C143" t="s">
        <v>8</v>
      </c>
      <c r="E143" t="s">
        <v>281</v>
      </c>
      <c r="F143">
        <v>2.2519999999999998</v>
      </c>
      <c r="G143">
        <v>1.5129999999999999</v>
      </c>
      <c r="H143">
        <v>1.788</v>
      </c>
      <c r="I143">
        <v>6.4850000000000003</v>
      </c>
      <c r="J143">
        <v>7.25</v>
      </c>
      <c r="K143">
        <v>6.8860000000000001</v>
      </c>
      <c r="L143">
        <v>2020</v>
      </c>
    </row>
    <row r="144" spans="1:12" x14ac:dyDescent="0.25">
      <c r="A144" t="s">
        <v>282</v>
      </c>
      <c r="B144" t="s">
        <v>7</v>
      </c>
      <c r="C144" t="s">
        <v>8</v>
      </c>
      <c r="E144" t="s">
        <v>283</v>
      </c>
      <c r="F144">
        <v>14.922000000000001</v>
      </c>
      <c r="G144">
        <v>10.858000000000001</v>
      </c>
      <c r="H144">
        <v>7.3490000000000002</v>
      </c>
      <c r="I144">
        <v>7.1130000000000004</v>
      </c>
      <c r="J144">
        <v>6.8179999999999996</v>
      </c>
      <c r="K144">
        <v>6.6639999999999997</v>
      </c>
      <c r="L144">
        <v>2020</v>
      </c>
    </row>
    <row r="145" spans="1:12" x14ac:dyDescent="0.25">
      <c r="A145" t="s">
        <v>284</v>
      </c>
      <c r="B145" t="s">
        <v>7</v>
      </c>
      <c r="C145" t="s">
        <v>8</v>
      </c>
      <c r="E145" t="s">
        <v>285</v>
      </c>
      <c r="F145">
        <v>1.444</v>
      </c>
      <c r="G145">
        <v>4.9989999999999997</v>
      </c>
      <c r="H145">
        <v>1.6870000000000001</v>
      </c>
      <c r="I145">
        <v>1.3759999999999999</v>
      </c>
      <c r="J145">
        <v>1.2709999999999999</v>
      </c>
      <c r="K145">
        <v>1.3160000000000001</v>
      </c>
      <c r="L145">
        <v>2020</v>
      </c>
    </row>
    <row r="146" spans="1:12" x14ac:dyDescent="0.25">
      <c r="A146" t="s">
        <v>286</v>
      </c>
      <c r="B146" t="s">
        <v>7</v>
      </c>
      <c r="C146" t="s">
        <v>8</v>
      </c>
      <c r="E146" t="s">
        <v>287</v>
      </c>
      <c r="F146">
        <v>22.222999999999999</v>
      </c>
      <c r="G146">
        <v>23.643000000000001</v>
      </c>
      <c r="H146">
        <v>20.117000000000001</v>
      </c>
      <c r="I146">
        <v>16.623999999999999</v>
      </c>
      <c r="J146">
        <v>13.494999999999999</v>
      </c>
      <c r="K146">
        <v>5.91</v>
      </c>
      <c r="L146">
        <v>2019</v>
      </c>
    </row>
    <row r="147" spans="1:12" x14ac:dyDescent="0.25">
      <c r="A147" t="s">
        <v>288</v>
      </c>
      <c r="B147" t="s">
        <v>7</v>
      </c>
      <c r="C147" t="s">
        <v>8</v>
      </c>
    </row>
    <row r="148" spans="1:12" x14ac:dyDescent="0.25">
      <c r="A148" t="s">
        <v>289</v>
      </c>
      <c r="B148" t="s">
        <v>7</v>
      </c>
      <c r="C148" t="s">
        <v>8</v>
      </c>
    </row>
    <row r="149" spans="1:12" x14ac:dyDescent="0.25">
      <c r="A149" t="s">
        <v>290</v>
      </c>
      <c r="B149" t="s">
        <v>7</v>
      </c>
      <c r="C149" t="s">
        <v>8</v>
      </c>
      <c r="E149" t="s">
        <v>291</v>
      </c>
      <c r="F149">
        <v>25.855</v>
      </c>
      <c r="G149">
        <v>13.052</v>
      </c>
      <c r="H149">
        <v>-0.154</v>
      </c>
      <c r="I149">
        <v>1.2330000000000001</v>
      </c>
      <c r="J149">
        <v>23.242000000000001</v>
      </c>
      <c r="K149">
        <v>4.3040000000000003</v>
      </c>
      <c r="L149">
        <v>2020</v>
      </c>
    </row>
    <row r="150" spans="1:12" x14ac:dyDescent="0.25">
      <c r="A150" t="s">
        <v>292</v>
      </c>
      <c r="B150" t="s">
        <v>7</v>
      </c>
      <c r="C150" t="s">
        <v>8</v>
      </c>
      <c r="E150" t="s">
        <v>293</v>
      </c>
      <c r="F150">
        <v>-0.13400000000000001</v>
      </c>
      <c r="G150">
        <v>6.4089999999999998</v>
      </c>
      <c r="H150">
        <v>1.742</v>
      </c>
      <c r="I150">
        <v>2.1360000000000001</v>
      </c>
      <c r="J150">
        <v>2.1160000000000001</v>
      </c>
      <c r="K150">
        <v>2.3050000000000002</v>
      </c>
      <c r="L150">
        <v>2020</v>
      </c>
    </row>
    <row r="151" spans="1:12" x14ac:dyDescent="0.25">
      <c r="A151" t="s">
        <v>294</v>
      </c>
      <c r="B151" t="s">
        <v>7</v>
      </c>
      <c r="C151" t="s">
        <v>8</v>
      </c>
      <c r="E151" t="s">
        <v>295</v>
      </c>
      <c r="F151">
        <v>2.8690000000000002</v>
      </c>
      <c r="G151">
        <v>16.187999999999999</v>
      </c>
      <c r="H151">
        <v>75.344999999999999</v>
      </c>
      <c r="I151">
        <v>23.059000000000001</v>
      </c>
      <c r="J151">
        <v>5.7649999999999997</v>
      </c>
      <c r="K151">
        <v>5.5519999999999996</v>
      </c>
      <c r="L151">
        <v>2019</v>
      </c>
    </row>
    <row r="152" spans="1:12" x14ac:dyDescent="0.25">
      <c r="A152" t="s">
        <v>296</v>
      </c>
      <c r="B152" t="s">
        <v>7</v>
      </c>
      <c r="C152" t="s">
        <v>8</v>
      </c>
      <c r="E152" t="s">
        <v>297</v>
      </c>
      <c r="F152">
        <v>24.039000000000001</v>
      </c>
      <c r="G152">
        <v>6.5389999999999997</v>
      </c>
      <c r="H152">
        <v>5.5389999999999997</v>
      </c>
      <c r="I152">
        <v>5.5389999999999997</v>
      </c>
      <c r="J152">
        <v>5.5389999999999997</v>
      </c>
      <c r="K152">
        <v>6.0389999999999997</v>
      </c>
      <c r="L152">
        <v>2020</v>
      </c>
    </row>
    <row r="153" spans="1:12" x14ac:dyDescent="0.25">
      <c r="A153" t="s">
        <v>298</v>
      </c>
      <c r="B153" t="s">
        <v>7</v>
      </c>
      <c r="C153" t="s">
        <v>8</v>
      </c>
      <c r="E153" t="s">
        <v>299</v>
      </c>
      <c r="F153">
        <v>-7.34</v>
      </c>
      <c r="G153">
        <v>5.5060000000000002</v>
      </c>
      <c r="H153">
        <v>12.585000000000001</v>
      </c>
      <c r="I153">
        <v>6.1449999999999996</v>
      </c>
      <c r="J153">
        <v>9.7110000000000003</v>
      </c>
      <c r="K153">
        <v>6.173</v>
      </c>
      <c r="L153">
        <v>2020</v>
      </c>
    </row>
    <row r="154" spans="1:12" x14ac:dyDescent="0.25">
      <c r="A154" t="s">
        <v>300</v>
      </c>
      <c r="B154" t="s">
        <v>7</v>
      </c>
      <c r="C154" t="s">
        <v>8</v>
      </c>
      <c r="E154" t="s">
        <v>301</v>
      </c>
      <c r="F154">
        <v>57.442999999999998</v>
      </c>
      <c r="G154">
        <v>25.382999999999999</v>
      </c>
      <c r="H154">
        <v>14.39</v>
      </c>
      <c r="I154">
        <v>9.4030000000000005</v>
      </c>
      <c r="J154">
        <v>6.6779999999999999</v>
      </c>
      <c r="K154">
        <v>1.2490000000000001</v>
      </c>
      <c r="L154">
        <v>2018</v>
      </c>
    </row>
    <row r="155" spans="1:12" x14ac:dyDescent="0.25">
      <c r="A155" t="s">
        <v>302</v>
      </c>
      <c r="B155" t="s">
        <v>7</v>
      </c>
      <c r="C155" t="s">
        <v>8</v>
      </c>
      <c r="E155" t="s">
        <v>303</v>
      </c>
      <c r="F155">
        <v>5.673</v>
      </c>
      <c r="G155">
        <v>4.9089999999999998</v>
      </c>
      <c r="H155">
        <v>3.371</v>
      </c>
      <c r="I155">
        <v>2.9710000000000001</v>
      </c>
      <c r="J155">
        <v>2.9710000000000001</v>
      </c>
      <c r="K155">
        <v>3.0710000000000002</v>
      </c>
      <c r="L155">
        <v>2020</v>
      </c>
    </row>
    <row r="156" spans="1:12" x14ac:dyDescent="0.25">
      <c r="A156" t="s">
        <v>304</v>
      </c>
      <c r="B156" t="s">
        <v>7</v>
      </c>
      <c r="C156" t="s">
        <v>8</v>
      </c>
      <c r="E156" t="s">
        <v>305</v>
      </c>
      <c r="F156">
        <v>13.842000000000001</v>
      </c>
      <c r="G156">
        <v>5.8140000000000001</v>
      </c>
      <c r="H156">
        <v>4.6340000000000003</v>
      </c>
      <c r="I156">
        <v>5.1319999999999997</v>
      </c>
      <c r="J156">
        <v>4.8490000000000002</v>
      </c>
      <c r="K156">
        <v>4.12</v>
      </c>
      <c r="L156">
        <v>2019</v>
      </c>
    </row>
    <row r="157" spans="1:12" x14ac:dyDescent="0.25">
      <c r="A157" t="s">
        <v>306</v>
      </c>
      <c r="B157" t="s">
        <v>7</v>
      </c>
      <c r="C157" t="s">
        <v>8</v>
      </c>
      <c r="E157" t="s">
        <v>307</v>
      </c>
      <c r="F157">
        <v>9.5500000000000007</v>
      </c>
      <c r="G157">
        <v>6.9859999999999998</v>
      </c>
      <c r="H157">
        <v>5.4370000000000003</v>
      </c>
      <c r="I157">
        <v>3.9590000000000001</v>
      </c>
      <c r="J157">
        <v>3.0310000000000001</v>
      </c>
      <c r="K157">
        <v>2.5750000000000002</v>
      </c>
      <c r="L157">
        <v>2020</v>
      </c>
    </row>
    <row r="158" spans="1:12" x14ac:dyDescent="0.25">
      <c r="A158" t="s">
        <v>308</v>
      </c>
      <c r="B158" t="s">
        <v>7</v>
      </c>
      <c r="C158" t="s">
        <v>8</v>
      </c>
      <c r="E158" t="s">
        <v>309</v>
      </c>
      <c r="F158">
        <v>2.7320000000000002</v>
      </c>
      <c r="G158">
        <v>4.46</v>
      </c>
      <c r="H158">
        <v>10.715999999999999</v>
      </c>
      <c r="I158">
        <v>5.9509999999999996</v>
      </c>
      <c r="J158">
        <v>5.0730000000000004</v>
      </c>
      <c r="K158">
        <v>4.9859999999999998</v>
      </c>
      <c r="L158">
        <v>2019</v>
      </c>
    </row>
    <row r="159" spans="1:12" x14ac:dyDescent="0.25">
      <c r="A159" t="s">
        <v>310</v>
      </c>
      <c r="B159" t="s">
        <v>7</v>
      </c>
      <c r="C159" t="s">
        <v>8</v>
      </c>
    </row>
    <row r="160" spans="1:12" x14ac:dyDescent="0.25">
      <c r="A160" t="s">
        <v>311</v>
      </c>
      <c r="B160" t="s">
        <v>7</v>
      </c>
      <c r="C160" t="s">
        <v>8</v>
      </c>
      <c r="E160" t="s">
        <v>312</v>
      </c>
      <c r="F160">
        <v>12.2</v>
      </c>
      <c r="G160">
        <v>1.8</v>
      </c>
      <c r="H160">
        <v>3.0870000000000002</v>
      </c>
      <c r="I160">
        <v>3.137</v>
      </c>
      <c r="J160">
        <v>2.9</v>
      </c>
      <c r="K160">
        <v>2.9</v>
      </c>
      <c r="L160">
        <v>2020</v>
      </c>
    </row>
    <row r="161" spans="1:12" x14ac:dyDescent="0.25">
      <c r="A161" t="s">
        <v>313</v>
      </c>
      <c r="B161" t="s">
        <v>7</v>
      </c>
      <c r="C161" t="s">
        <v>8</v>
      </c>
    </row>
    <row r="162" spans="1:12" x14ac:dyDescent="0.25">
      <c r="A162" t="s">
        <v>314</v>
      </c>
      <c r="B162" t="s">
        <v>7</v>
      </c>
      <c r="C162" t="s">
        <v>8</v>
      </c>
      <c r="E162" t="s">
        <v>315</v>
      </c>
      <c r="F162">
        <v>10.831</v>
      </c>
      <c r="G162">
        <v>2.9169999999999998</v>
      </c>
      <c r="H162">
        <v>2.3109999999999999</v>
      </c>
      <c r="I162">
        <v>2.6459999999999999</v>
      </c>
      <c r="J162">
        <v>2.5760000000000001</v>
      </c>
      <c r="K162">
        <v>2.641</v>
      </c>
      <c r="L162">
        <v>2020</v>
      </c>
    </row>
    <row r="163" spans="1:12" x14ac:dyDescent="0.25">
      <c r="A163" t="s">
        <v>316</v>
      </c>
      <c r="B163" t="s">
        <v>7</v>
      </c>
      <c r="C163" t="s">
        <v>8</v>
      </c>
      <c r="E163" t="s">
        <v>317</v>
      </c>
      <c r="F163">
        <v>9.0169999999999995</v>
      </c>
      <c r="G163">
        <v>21.956</v>
      </c>
      <c r="H163">
        <v>10.666</v>
      </c>
      <c r="I163">
        <v>6.8620000000000001</v>
      </c>
      <c r="J163">
        <v>4.6210000000000004</v>
      </c>
      <c r="K163">
        <v>4.798</v>
      </c>
      <c r="L163">
        <v>2019</v>
      </c>
    </row>
    <row r="164" spans="1:12" x14ac:dyDescent="0.25">
      <c r="A164" t="s">
        <v>318</v>
      </c>
      <c r="B164" t="s">
        <v>7</v>
      </c>
      <c r="C164" t="s">
        <v>8</v>
      </c>
      <c r="E164" t="s">
        <v>319</v>
      </c>
      <c r="F164">
        <v>-1.65</v>
      </c>
      <c r="G164">
        <v>16.027000000000001</v>
      </c>
      <c r="H164">
        <v>11.371</v>
      </c>
      <c r="I164">
        <v>10.848000000000001</v>
      </c>
      <c r="J164">
        <v>3.827</v>
      </c>
      <c r="K164">
        <v>3.423</v>
      </c>
      <c r="L164">
        <v>2018</v>
      </c>
    </row>
    <row r="165" spans="1:12" x14ac:dyDescent="0.25">
      <c r="A165" t="s">
        <v>320</v>
      </c>
      <c r="B165" t="s">
        <v>7</v>
      </c>
      <c r="C165" t="s">
        <v>8</v>
      </c>
      <c r="E165" t="s">
        <v>321</v>
      </c>
      <c r="F165">
        <v>-8.9969999999999999</v>
      </c>
      <c r="G165">
        <v>6.63</v>
      </c>
      <c r="H165">
        <v>6.36</v>
      </c>
      <c r="I165">
        <v>5.0339999999999998</v>
      </c>
      <c r="J165">
        <v>2.3879999999999999</v>
      </c>
      <c r="K165">
        <v>2.492</v>
      </c>
      <c r="L165">
        <v>2019</v>
      </c>
    </row>
    <row r="166" spans="1:12" x14ac:dyDescent="0.25">
      <c r="A166" t="s">
        <v>322</v>
      </c>
      <c r="B166" t="s">
        <v>7</v>
      </c>
      <c r="C166" t="s">
        <v>8</v>
      </c>
      <c r="E166" t="s">
        <v>323</v>
      </c>
      <c r="F166">
        <v>-18.253</v>
      </c>
      <c r="G166">
        <v>19.818000000000001</v>
      </c>
      <c r="H166">
        <v>15.705</v>
      </c>
      <c r="I166">
        <v>13.617000000000001</v>
      </c>
      <c r="J166">
        <v>11.256</v>
      </c>
      <c r="K166">
        <v>9.1959999999999997</v>
      </c>
      <c r="L166">
        <v>2019</v>
      </c>
    </row>
    <row r="167" spans="1:12" x14ac:dyDescent="0.25">
      <c r="A167" t="s">
        <v>324</v>
      </c>
      <c r="B167" t="s">
        <v>7</v>
      </c>
      <c r="C167" t="s">
        <v>8</v>
      </c>
      <c r="E167" t="s">
        <v>325</v>
      </c>
      <c r="F167">
        <v>20.286000000000001</v>
      </c>
      <c r="G167">
        <v>9.2420000000000009</v>
      </c>
      <c r="H167">
        <v>11.782</v>
      </c>
      <c r="I167">
        <v>13.539</v>
      </c>
      <c r="J167">
        <v>14.452999999999999</v>
      </c>
      <c r="K167">
        <v>9.532</v>
      </c>
      <c r="L167">
        <v>2019</v>
      </c>
    </row>
    <row r="168" spans="1:12" x14ac:dyDescent="0.25">
      <c r="A168" t="s">
        <v>326</v>
      </c>
      <c r="B168" t="s">
        <v>7</v>
      </c>
      <c r="C168" t="s">
        <v>8</v>
      </c>
      <c r="E168" t="s">
        <v>327</v>
      </c>
      <c r="F168">
        <v>-7.266</v>
      </c>
      <c r="G168">
        <v>3.0209999999999999</v>
      </c>
      <c r="H168">
        <v>3.7919999999999998</v>
      </c>
      <c r="I168">
        <v>2.222</v>
      </c>
      <c r="J168">
        <v>1.903</v>
      </c>
      <c r="K168">
        <v>1.8480000000000001</v>
      </c>
      <c r="L168">
        <v>2020</v>
      </c>
    </row>
    <row r="169" spans="1:12" x14ac:dyDescent="0.25">
      <c r="A169" t="s">
        <v>328</v>
      </c>
      <c r="B169" t="s">
        <v>7</v>
      </c>
      <c r="C169" t="s">
        <v>8</v>
      </c>
      <c r="E169" t="s">
        <v>329</v>
      </c>
      <c r="F169">
        <v>4</v>
      </c>
      <c r="G169">
        <v>3.5</v>
      </c>
      <c r="H169">
        <v>3.7</v>
      </c>
      <c r="I169">
        <v>3.4</v>
      </c>
      <c r="J169">
        <v>3.1</v>
      </c>
      <c r="K169">
        <v>3</v>
      </c>
      <c r="L169">
        <v>2020</v>
      </c>
    </row>
    <row r="170" spans="1:12" x14ac:dyDescent="0.25">
      <c r="A170" t="s">
        <v>330</v>
      </c>
      <c r="B170" t="s">
        <v>7</v>
      </c>
      <c r="C170" t="s">
        <v>8</v>
      </c>
      <c r="E170" t="s">
        <v>331</v>
      </c>
      <c r="F170">
        <v>8.0980000000000008</v>
      </c>
      <c r="G170">
        <v>4.3630000000000004</v>
      </c>
      <c r="H170">
        <v>4.45</v>
      </c>
      <c r="I170">
        <v>4.46</v>
      </c>
      <c r="J170">
        <v>4.3499999999999996</v>
      </c>
      <c r="K170">
        <v>4.45</v>
      </c>
      <c r="L170">
        <v>2020</v>
      </c>
    </row>
    <row r="171" spans="1:12" x14ac:dyDescent="0.25">
      <c r="A171" t="s">
        <v>332</v>
      </c>
      <c r="B171" t="s">
        <v>7</v>
      </c>
      <c r="C171" t="s">
        <v>8</v>
      </c>
      <c r="E171" t="s">
        <v>333</v>
      </c>
      <c r="F171" t="s">
        <v>10</v>
      </c>
      <c r="G171" t="s">
        <v>10</v>
      </c>
      <c r="H171" t="s">
        <v>10</v>
      </c>
      <c r="I171" t="s">
        <v>10</v>
      </c>
      <c r="J171" t="s">
        <v>10</v>
      </c>
      <c r="K171" t="s">
        <v>10</v>
      </c>
      <c r="L171">
        <v>2009</v>
      </c>
    </row>
    <row r="172" spans="1:12" x14ac:dyDescent="0.25">
      <c r="A172" t="s">
        <v>334</v>
      </c>
      <c r="B172" t="s">
        <v>7</v>
      </c>
      <c r="C172" t="s">
        <v>8</v>
      </c>
      <c r="E172" t="s">
        <v>335</v>
      </c>
      <c r="F172">
        <v>3.7629999999999999</v>
      </c>
      <c r="G172">
        <v>3.0670000000000002</v>
      </c>
      <c r="H172">
        <v>1.843</v>
      </c>
      <c r="I172">
        <v>0.438</v>
      </c>
      <c r="J172">
        <v>0.17199999999999999</v>
      </c>
      <c r="K172">
        <v>8.6999999999999994E-2</v>
      </c>
      <c r="L172">
        <v>2020</v>
      </c>
    </row>
    <row r="173" spans="1:12" x14ac:dyDescent="0.25">
      <c r="A173" t="s">
        <v>336</v>
      </c>
      <c r="B173" t="s">
        <v>7</v>
      </c>
      <c r="C173" t="s">
        <v>8</v>
      </c>
      <c r="E173" t="s">
        <v>337</v>
      </c>
      <c r="F173">
        <v>10.606999999999999</v>
      </c>
      <c r="G173">
        <v>-2.2749999999999999</v>
      </c>
      <c r="H173">
        <v>8.4480000000000004</v>
      </c>
      <c r="I173">
        <v>8.3390000000000004</v>
      </c>
      <c r="J173">
        <v>8.19</v>
      </c>
      <c r="K173">
        <v>7.5789999999999997</v>
      </c>
      <c r="L173">
        <v>2019</v>
      </c>
    </row>
    <row r="174" spans="1:12" x14ac:dyDescent="0.25">
      <c r="A174" t="s">
        <v>338</v>
      </c>
      <c r="B174" t="s">
        <v>7</v>
      </c>
      <c r="C174" t="s">
        <v>8</v>
      </c>
      <c r="E174" t="s">
        <v>339</v>
      </c>
      <c r="F174">
        <v>2.782</v>
      </c>
      <c r="G174">
        <v>3.907</v>
      </c>
      <c r="H174">
        <v>5.4850000000000003</v>
      </c>
      <c r="I174">
        <v>5.85</v>
      </c>
      <c r="J174">
        <v>6.532</v>
      </c>
      <c r="K174">
        <v>3.323</v>
      </c>
      <c r="L174">
        <v>2020</v>
      </c>
    </row>
    <row r="175" spans="1:12" x14ac:dyDescent="0.25">
      <c r="A175" t="s">
        <v>340</v>
      </c>
      <c r="B175" t="s">
        <v>7</v>
      </c>
      <c r="C175" t="s">
        <v>8</v>
      </c>
      <c r="E175" t="s">
        <v>341</v>
      </c>
      <c r="F175">
        <v>19.949000000000002</v>
      </c>
      <c r="G175">
        <v>5.7270000000000003</v>
      </c>
      <c r="H175">
        <v>1.655</v>
      </c>
      <c r="I175">
        <v>4.1639999999999997</v>
      </c>
      <c r="J175">
        <v>3.9940000000000002</v>
      </c>
      <c r="K175">
        <v>3.9289999999999998</v>
      </c>
      <c r="L175">
        <v>2020</v>
      </c>
    </row>
    <row r="176" spans="1:12" x14ac:dyDescent="0.25">
      <c r="A176" t="s">
        <v>342</v>
      </c>
      <c r="B176" t="s">
        <v>7</v>
      </c>
      <c r="C176" t="s">
        <v>8</v>
      </c>
    </row>
    <row r="177" spans="1:12" x14ac:dyDescent="0.25">
      <c r="A177" t="s">
        <v>343</v>
      </c>
      <c r="B177" t="s">
        <v>7</v>
      </c>
      <c r="C177" t="s">
        <v>8</v>
      </c>
      <c r="E177" t="s">
        <v>344</v>
      </c>
      <c r="F177">
        <v>8.0619999999999994</v>
      </c>
      <c r="G177">
        <v>6.5890000000000004</v>
      </c>
      <c r="H177">
        <v>5.0490000000000004</v>
      </c>
      <c r="I177">
        <v>7.6429999999999998</v>
      </c>
      <c r="J177">
        <v>7.9080000000000004</v>
      </c>
      <c r="K177">
        <v>7.2149999999999999</v>
      </c>
      <c r="L177">
        <v>2018</v>
      </c>
    </row>
    <row r="178" spans="1:12" x14ac:dyDescent="0.25">
      <c r="A178" t="s">
        <v>345</v>
      </c>
      <c r="B178" t="s">
        <v>7</v>
      </c>
      <c r="C178" t="s">
        <v>8</v>
      </c>
      <c r="E178" t="s">
        <v>346</v>
      </c>
      <c r="F178" t="s">
        <v>10</v>
      </c>
      <c r="G178" t="s">
        <v>10</v>
      </c>
      <c r="H178" t="s">
        <v>10</v>
      </c>
      <c r="I178" t="s">
        <v>10</v>
      </c>
      <c r="J178" t="s">
        <v>10</v>
      </c>
      <c r="K178" t="s">
        <v>10</v>
      </c>
      <c r="L178">
        <v>2020</v>
      </c>
    </row>
    <row r="179" spans="1:12" x14ac:dyDescent="0.25">
      <c r="A179" t="s">
        <v>347</v>
      </c>
      <c r="B179" t="s">
        <v>7</v>
      </c>
      <c r="C179" t="s">
        <v>8</v>
      </c>
      <c r="E179" t="s">
        <v>348</v>
      </c>
      <c r="F179">
        <v>24.552</v>
      </c>
      <c r="G179">
        <v>16.699000000000002</v>
      </c>
      <c r="H179">
        <v>-1.093</v>
      </c>
      <c r="I179">
        <v>-2.3220000000000001</v>
      </c>
      <c r="J179">
        <v>-1.325</v>
      </c>
      <c r="K179">
        <v>-0.54800000000000004</v>
      </c>
      <c r="L179">
        <v>2020</v>
      </c>
    </row>
    <row r="180" spans="1:12" x14ac:dyDescent="0.25">
      <c r="A180" t="s">
        <v>349</v>
      </c>
      <c r="B180" t="s">
        <v>7</v>
      </c>
      <c r="C180" t="s">
        <v>8</v>
      </c>
      <c r="E180" t="s">
        <v>350</v>
      </c>
      <c r="F180">
        <v>13.8</v>
      </c>
      <c r="G180">
        <v>7.1</v>
      </c>
      <c r="H180">
        <v>4.5999999999999996</v>
      </c>
      <c r="I180">
        <v>3.5</v>
      </c>
      <c r="J180">
        <v>2.9</v>
      </c>
      <c r="K180">
        <v>3.3</v>
      </c>
      <c r="L180">
        <v>2020</v>
      </c>
    </row>
    <row r="181" spans="1:12" x14ac:dyDescent="0.25">
      <c r="A181" t="s">
        <v>351</v>
      </c>
      <c r="B181" t="s">
        <v>7</v>
      </c>
      <c r="C181" t="s">
        <v>8</v>
      </c>
      <c r="E181" t="s">
        <v>352</v>
      </c>
      <c r="F181">
        <v>15.420999999999999</v>
      </c>
      <c r="G181">
        <v>4.4050000000000002</v>
      </c>
      <c r="H181">
        <v>2.649</v>
      </c>
      <c r="I181">
        <v>2.7349999999999999</v>
      </c>
      <c r="J181">
        <v>3.9620000000000002</v>
      </c>
      <c r="K181">
        <v>3.6850000000000001</v>
      </c>
      <c r="L181">
        <v>2020</v>
      </c>
    </row>
    <row r="182" spans="1:12" x14ac:dyDescent="0.25">
      <c r="A182" t="s">
        <v>353</v>
      </c>
      <c r="B182" t="s">
        <v>7</v>
      </c>
      <c r="C182" t="s">
        <v>8</v>
      </c>
      <c r="E182" t="s">
        <v>354</v>
      </c>
      <c r="F182">
        <v>20.459</v>
      </c>
      <c r="G182">
        <v>-7.7430000000000003</v>
      </c>
      <c r="H182">
        <v>0.95499999999999996</v>
      </c>
      <c r="I182">
        <v>0.89300000000000002</v>
      </c>
      <c r="J182">
        <v>0.85299999999999998</v>
      </c>
      <c r="K182">
        <v>0.82699999999999996</v>
      </c>
      <c r="L182">
        <v>2020</v>
      </c>
    </row>
    <row r="183" spans="1:12" x14ac:dyDescent="0.25">
      <c r="A183" t="s">
        <v>355</v>
      </c>
      <c r="B183" t="s">
        <v>7</v>
      </c>
      <c r="C183" t="s">
        <v>8</v>
      </c>
    </row>
    <row r="184" spans="1:12" x14ac:dyDescent="0.25">
      <c r="A184" t="s">
        <v>356</v>
      </c>
      <c r="B184" t="s">
        <v>7</v>
      </c>
      <c r="C184" t="s">
        <v>8</v>
      </c>
      <c r="E184" t="s">
        <v>357</v>
      </c>
      <c r="F184">
        <v>17.559000000000001</v>
      </c>
      <c r="G184">
        <v>0.35199999999999998</v>
      </c>
      <c r="H184">
        <v>1.407</v>
      </c>
      <c r="I184">
        <v>8.5779999999999994</v>
      </c>
      <c r="J184">
        <v>1.9E-2</v>
      </c>
      <c r="K184">
        <v>37.304000000000002</v>
      </c>
      <c r="L184">
        <v>2020</v>
      </c>
    </row>
    <row r="185" spans="1:12" x14ac:dyDescent="0.25">
      <c r="A185" t="s">
        <v>358</v>
      </c>
      <c r="B185" t="s">
        <v>7</v>
      </c>
      <c r="C185" t="s">
        <v>8</v>
      </c>
      <c r="E185" t="s">
        <v>359</v>
      </c>
      <c r="F185">
        <v>11.766999999999999</v>
      </c>
      <c r="G185">
        <v>7.6289999999999996</v>
      </c>
      <c r="H185">
        <v>7.64</v>
      </c>
      <c r="I185">
        <v>8.3859999999999992</v>
      </c>
      <c r="J185">
        <v>8.4459999999999997</v>
      </c>
      <c r="K185">
        <v>8.3330000000000002</v>
      </c>
      <c r="L185">
        <v>2020</v>
      </c>
    </row>
    <row r="186" spans="1:12" x14ac:dyDescent="0.25">
      <c r="A186" t="s">
        <v>360</v>
      </c>
      <c r="B186" t="s">
        <v>7</v>
      </c>
      <c r="C186" t="s">
        <v>8</v>
      </c>
      <c r="E186" t="s">
        <v>361</v>
      </c>
      <c r="F186">
        <v>0.28199999999999997</v>
      </c>
      <c r="G186">
        <v>4.5010000000000003</v>
      </c>
      <c r="H186">
        <v>5.2629999999999999</v>
      </c>
      <c r="I186">
        <v>4.7039999999999997</v>
      </c>
      <c r="J186">
        <v>4.3470000000000004</v>
      </c>
      <c r="K186">
        <v>4.7169999999999996</v>
      </c>
      <c r="L186">
        <v>2020</v>
      </c>
    </row>
    <row r="187" spans="1:12" x14ac:dyDescent="0.25">
      <c r="A187" t="s">
        <v>362</v>
      </c>
      <c r="B187" t="s">
        <v>7</v>
      </c>
      <c r="C187" t="s">
        <v>8</v>
      </c>
      <c r="E187" t="s">
        <v>363</v>
      </c>
      <c r="F187">
        <v>3.82</v>
      </c>
      <c r="G187">
        <v>10.977</v>
      </c>
      <c r="H187">
        <v>3.4550000000000001</v>
      </c>
      <c r="I187">
        <v>3.048</v>
      </c>
      <c r="J187">
        <v>2.8239999999999998</v>
      </c>
      <c r="K187">
        <v>2.823</v>
      </c>
      <c r="L187">
        <v>2020</v>
      </c>
    </row>
    <row r="188" spans="1:12" x14ac:dyDescent="0.25">
      <c r="A188" t="s">
        <v>364</v>
      </c>
      <c r="B188" t="s">
        <v>7</v>
      </c>
      <c r="C188" t="s">
        <v>8</v>
      </c>
      <c r="E188" t="s">
        <v>365</v>
      </c>
      <c r="F188">
        <v>8.0530000000000008</v>
      </c>
      <c r="G188">
        <v>6.5190000000000001</v>
      </c>
      <c r="H188">
        <v>3.3759999999999999</v>
      </c>
      <c r="I188">
        <v>3.395</v>
      </c>
      <c r="J188">
        <v>3.7410000000000001</v>
      </c>
      <c r="K188">
        <v>3.573</v>
      </c>
      <c r="L188">
        <v>2020</v>
      </c>
    </row>
    <row r="189" spans="1:12" x14ac:dyDescent="0.25">
      <c r="A189" t="s">
        <v>366</v>
      </c>
      <c r="B189" t="s">
        <v>7</v>
      </c>
      <c r="C189" t="s">
        <v>8</v>
      </c>
      <c r="E189" t="s">
        <v>367</v>
      </c>
      <c r="F189">
        <v>7.1230000000000002</v>
      </c>
      <c r="G189">
        <v>3.2530000000000001</v>
      </c>
      <c r="H189">
        <v>7.8109999999999999</v>
      </c>
      <c r="I189">
        <v>3.7480000000000002</v>
      </c>
      <c r="J189">
        <v>2.3420000000000001</v>
      </c>
      <c r="K189">
        <v>2.3769999999999998</v>
      </c>
      <c r="L189">
        <v>2020</v>
      </c>
    </row>
    <row r="190" spans="1:12" x14ac:dyDescent="0.25">
      <c r="A190" t="s">
        <v>368</v>
      </c>
      <c r="B190" t="s">
        <v>7</v>
      </c>
      <c r="C190" t="s">
        <v>8</v>
      </c>
      <c r="E190" t="s">
        <v>369</v>
      </c>
      <c r="F190">
        <v>6.9710000000000001</v>
      </c>
      <c r="G190">
        <v>15.87</v>
      </c>
      <c r="H190">
        <v>12.590999999999999</v>
      </c>
      <c r="I190">
        <v>11.192</v>
      </c>
      <c r="J190">
        <v>10.44</v>
      </c>
      <c r="K190">
        <v>10.938000000000001</v>
      </c>
      <c r="L190">
        <v>2020</v>
      </c>
    </row>
    <row r="191" spans="1:12" x14ac:dyDescent="0.25">
      <c r="A191" t="s">
        <v>370</v>
      </c>
      <c r="B191" t="s">
        <v>7</v>
      </c>
      <c r="C191" t="s">
        <v>8</v>
      </c>
    </row>
    <row r="192" spans="1:12" x14ac:dyDescent="0.25">
      <c r="A192" t="s">
        <v>371</v>
      </c>
      <c r="B192" t="s">
        <v>7</v>
      </c>
      <c r="C192" t="s">
        <v>8</v>
      </c>
      <c r="E192" t="s">
        <v>372</v>
      </c>
      <c r="F192">
        <v>-49.601999999999997</v>
      </c>
      <c r="G192">
        <v>-7.931</v>
      </c>
      <c r="H192" t="s">
        <v>10</v>
      </c>
      <c r="I192" t="s">
        <v>10</v>
      </c>
      <c r="J192" t="s">
        <v>10</v>
      </c>
      <c r="K192" t="s">
        <v>10</v>
      </c>
      <c r="L192">
        <v>2017</v>
      </c>
    </row>
    <row r="193" spans="1:12" x14ac:dyDescent="0.25">
      <c r="A193" t="s">
        <v>373</v>
      </c>
      <c r="B193" t="s">
        <v>7</v>
      </c>
      <c r="C193" t="s">
        <v>8</v>
      </c>
      <c r="E193" t="s">
        <v>374</v>
      </c>
      <c r="F193">
        <v>-0.34200000000000003</v>
      </c>
      <c r="G193">
        <v>10.19</v>
      </c>
      <c r="H193">
        <v>6.64</v>
      </c>
      <c r="I193">
        <v>7.181</v>
      </c>
      <c r="J193">
        <v>8.0039999999999996</v>
      </c>
      <c r="K193">
        <v>8.8409999999999993</v>
      </c>
      <c r="L193">
        <v>2020</v>
      </c>
    </row>
    <row r="194" spans="1:12" x14ac:dyDescent="0.25">
      <c r="A194" t="s">
        <v>375</v>
      </c>
      <c r="B194" t="s">
        <v>7</v>
      </c>
      <c r="C194" t="s">
        <v>8</v>
      </c>
      <c r="E194" t="s">
        <v>376</v>
      </c>
      <c r="F194">
        <v>1.9630000000000001</v>
      </c>
      <c r="G194">
        <v>6.2439999999999998</v>
      </c>
      <c r="H194">
        <v>5.83</v>
      </c>
      <c r="I194">
        <v>4.1609999999999996</v>
      </c>
      <c r="J194">
        <v>3.2770000000000001</v>
      </c>
      <c r="K194">
        <v>2.4940000000000002</v>
      </c>
      <c r="L194">
        <v>2020</v>
      </c>
    </row>
    <row r="195" spans="1:12" x14ac:dyDescent="0.25">
      <c r="A195" t="s">
        <v>377</v>
      </c>
      <c r="B195" t="s">
        <v>7</v>
      </c>
      <c r="C195" t="s">
        <v>8</v>
      </c>
      <c r="E195" t="s">
        <v>378</v>
      </c>
      <c r="F195">
        <v>60.796999999999997</v>
      </c>
      <c r="G195">
        <v>6.1710000000000003</v>
      </c>
      <c r="H195">
        <v>9.2840000000000007</v>
      </c>
      <c r="I195">
        <v>49.567999999999998</v>
      </c>
      <c r="J195">
        <v>8.1720000000000006</v>
      </c>
      <c r="K195">
        <v>27.692</v>
      </c>
      <c r="L195">
        <v>2020</v>
      </c>
    </row>
    <row r="196" spans="1:12" x14ac:dyDescent="0.25">
      <c r="A196" t="s">
        <v>379</v>
      </c>
      <c r="B196" t="s">
        <v>7</v>
      </c>
      <c r="C196" t="s">
        <v>8</v>
      </c>
      <c r="E196" t="s">
        <v>380</v>
      </c>
      <c r="F196">
        <v>-8.5139999999999993</v>
      </c>
      <c r="G196">
        <v>11.106</v>
      </c>
      <c r="H196">
        <v>8.0180000000000007</v>
      </c>
      <c r="I196">
        <v>5.0060000000000002</v>
      </c>
      <c r="J196">
        <v>8.2210000000000001</v>
      </c>
      <c r="K196">
        <v>8.9139999999999997</v>
      </c>
      <c r="L196">
        <v>2019</v>
      </c>
    </row>
    <row r="197" spans="1:12" x14ac:dyDescent="0.25">
      <c r="A197" t="s">
        <v>381</v>
      </c>
      <c r="B197" t="s">
        <v>7</v>
      </c>
      <c r="C197" t="s">
        <v>8</v>
      </c>
      <c r="E197" t="s">
        <v>382</v>
      </c>
      <c r="F197">
        <v>-2.8119999999999998</v>
      </c>
      <c r="G197">
        <v>4.4029999999999996</v>
      </c>
      <c r="H197">
        <v>4.4160000000000004</v>
      </c>
      <c r="I197">
        <v>3.6059999999999999</v>
      </c>
      <c r="J197">
        <v>2.8460000000000001</v>
      </c>
      <c r="K197">
        <v>1.6779999999999999</v>
      </c>
      <c r="L197">
        <v>2019</v>
      </c>
    </row>
    <row r="199" spans="1:12" x14ac:dyDescent="0.25">
      <c r="A199" t="s">
        <v>383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Calculation</vt:lpstr>
      <vt:lpstr>Exports_total_value</vt:lpstr>
      <vt:lpstr>Percentage_change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Chronas, Vasileios, ST-EZ</dc:creator>
  <cp:lastModifiedBy>Chronas, Vasileios, ST-EZ</cp:lastModifiedBy>
  <dcterms:created xsi:type="dcterms:W3CDTF">2015-06-05T18:19:34Z</dcterms:created>
  <dcterms:modified xsi:type="dcterms:W3CDTF">2022-03-16T09:17:38Z</dcterms:modified>
</cp:coreProperties>
</file>